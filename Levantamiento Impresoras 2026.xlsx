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ssets_Control\"/>
    </mc:Choice>
  </mc:AlternateContent>
  <xr:revisionPtr revIDLastSave="0" documentId="8_{B8D61943-ED00-4938-A8A9-BBC716125863}" xr6:coauthVersionLast="47" xr6:coauthVersionMax="47" xr10:uidLastSave="{00000000-0000-0000-0000-000000000000}"/>
  <bookViews>
    <workbookView xWindow="-110" yWindow="-110" windowWidth="25820" windowHeight="13900" firstSheet="1" activeTab="1" xr2:uid="{40020DAE-3C27-498F-87DA-448554885CF9}"/>
  </bookViews>
  <sheets>
    <sheet name="Hoja1" sheetId="1" state="hidden" r:id="rId1"/>
    <sheet name="Impresoras Julio 2026" sheetId="2" r:id="rId2"/>
    <sheet name="DATA IT" sheetId="3" r:id="rId3"/>
  </sheets>
  <definedNames>
    <definedName name="_xlnm._FilterDatabase" localSheetId="2" hidden="1">'DATA IT'!$A$1:$K$175</definedName>
    <definedName name="_xlnm._FilterDatabase" localSheetId="0" hidden="1">Hoja1!$A$1:$J$164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5" i="2" l="1"/>
  <c r="G145" i="2" s="1"/>
  <c r="G89" i="2"/>
  <c r="E57" i="2"/>
  <c r="G57" i="2" s="1"/>
  <c r="G129" i="2"/>
  <c r="G136" i="2"/>
  <c r="E117" i="2"/>
  <c r="G117" i="2" s="1"/>
  <c r="E65" i="2"/>
  <c r="G65" i="2" s="1"/>
  <c r="E52" i="2"/>
  <c r="G52" i="2" s="1"/>
  <c r="E33" i="2"/>
  <c r="G33" i="2" s="1"/>
  <c r="E146" i="2"/>
  <c r="G146" i="2" s="1"/>
  <c r="E30" i="2"/>
  <c r="G30" i="2" s="1"/>
  <c r="E139" i="2"/>
  <c r="G139" i="2" s="1"/>
  <c r="E58" i="2"/>
  <c r="G58" i="2" s="1"/>
  <c r="E96" i="2"/>
  <c r="G96" i="2" s="1"/>
  <c r="E124" i="2"/>
  <c r="G124" i="2" s="1"/>
  <c r="E41" i="2"/>
  <c r="G41" i="2" s="1"/>
  <c r="E83" i="2"/>
  <c r="G83" i="2" s="1"/>
  <c r="E12" i="2"/>
  <c r="G12" i="2" s="1"/>
  <c r="E35" i="2"/>
  <c r="G35" i="2" s="1"/>
  <c r="E36" i="2"/>
  <c r="G36" i="2" s="1"/>
  <c r="E115" i="2"/>
  <c r="G115" i="2" s="1"/>
  <c r="E42" i="2"/>
  <c r="G42" i="2" s="1"/>
  <c r="E71" i="2"/>
  <c r="G71" i="2" s="1"/>
  <c r="E17" i="2"/>
  <c r="G17" i="2" s="1"/>
  <c r="E64" i="2"/>
  <c r="G64" i="2" s="1"/>
  <c r="E4" i="2"/>
  <c r="G4" i="2" s="1"/>
  <c r="E23" i="2"/>
  <c r="G23" i="2" s="1"/>
  <c r="E25" i="2"/>
  <c r="G25" i="2" s="1"/>
  <c r="E26" i="2"/>
  <c r="G26" i="2" s="1"/>
  <c r="E13" i="2"/>
  <c r="G13" i="2" s="1"/>
  <c r="E122" i="2"/>
  <c r="G122" i="2" s="1"/>
  <c r="E3" i="2"/>
  <c r="G3" i="2" s="1"/>
  <c r="E55" i="2"/>
  <c r="G55" i="2" s="1"/>
  <c r="E14" i="2"/>
  <c r="G14" i="2" s="1"/>
  <c r="E10" i="2"/>
  <c r="G10" i="2" s="1"/>
  <c r="E56" i="2"/>
  <c r="G56" i="2" s="1"/>
  <c r="E114" i="2"/>
  <c r="G114" i="2" s="1"/>
  <c r="E18" i="2"/>
  <c r="G18" i="2" s="1"/>
  <c r="E111" i="2"/>
  <c r="G111" i="2" s="1"/>
  <c r="E50" i="2"/>
  <c r="G50" i="2" s="1"/>
  <c r="E39" i="2"/>
  <c r="G39" i="2" s="1"/>
  <c r="E103" i="2"/>
  <c r="G103" i="2" s="1"/>
  <c r="E138" i="2"/>
  <c r="G138" i="2" s="1"/>
  <c r="E9" i="2"/>
  <c r="G9" i="2" s="1"/>
  <c r="E22" i="2"/>
  <c r="G22" i="2" s="1"/>
  <c r="E142" i="2"/>
  <c r="G142" i="2" s="1"/>
  <c r="E125" i="2"/>
  <c r="G125" i="2" s="1"/>
  <c r="E15" i="2"/>
  <c r="G15" i="2" s="1"/>
  <c r="E120" i="2"/>
  <c r="G120" i="2" s="1"/>
  <c r="E102" i="2"/>
  <c r="G102" i="2" s="1"/>
  <c r="E81" i="2"/>
  <c r="G81" i="2" s="1"/>
  <c r="E77" i="2"/>
  <c r="G77" i="2" s="1"/>
  <c r="E90" i="2"/>
  <c r="G90" i="2" s="1"/>
  <c r="G6" i="2"/>
  <c r="E91" i="2"/>
  <c r="G91" i="2" s="1"/>
  <c r="E144" i="2"/>
  <c r="G144" i="2" s="1"/>
  <c r="E118" i="2"/>
  <c r="G118" i="2" s="1"/>
  <c r="E99" i="2"/>
  <c r="G99" i="2" s="1"/>
  <c r="E68" i="2"/>
  <c r="G68" i="2" s="1"/>
  <c r="E51" i="2"/>
  <c r="G51" i="2" s="1"/>
  <c r="E140" i="2"/>
  <c r="G140" i="2" s="1"/>
  <c r="E123" i="2"/>
  <c r="G123" i="2" s="1"/>
  <c r="E59" i="2"/>
  <c r="G59" i="2" s="1"/>
  <c r="E93" i="2"/>
  <c r="G93" i="2" s="1"/>
  <c r="E128" i="2"/>
  <c r="G128" i="2" s="1"/>
  <c r="E21" i="2"/>
  <c r="G21" i="2" s="1"/>
  <c r="E66" i="2"/>
  <c r="G66" i="2" s="1"/>
  <c r="E63" i="2"/>
  <c r="G63" i="2" s="1"/>
  <c r="E20" i="2"/>
  <c r="G20" i="2" s="1"/>
  <c r="E98" i="2"/>
  <c r="G98" i="2" s="1"/>
  <c r="E61" i="2"/>
  <c r="G61" i="2" s="1"/>
  <c r="E132" i="2"/>
  <c r="G132" i="2" s="1"/>
  <c r="E38" i="2"/>
  <c r="G38" i="2" s="1"/>
  <c r="E45" i="2"/>
  <c r="G45" i="2" s="1"/>
  <c r="E74" i="2"/>
  <c r="G74" i="2" s="1"/>
  <c r="E27" i="2"/>
  <c r="G27" i="2" s="1"/>
  <c r="G95" i="2"/>
  <c r="E69" i="2"/>
  <c r="G69" i="2" s="1"/>
  <c r="E72" i="2"/>
  <c r="G72" i="2" s="1"/>
  <c r="E130" i="2"/>
  <c r="G130" i="2" s="1"/>
  <c r="E116" i="2"/>
  <c r="G116" i="2" s="1"/>
  <c r="E40" i="2"/>
  <c r="G40" i="2" s="1"/>
  <c r="E82" i="2"/>
  <c r="G82" i="2" s="1"/>
  <c r="E16" i="2"/>
  <c r="G16" i="2" s="1"/>
  <c r="E54" i="2"/>
  <c r="G54" i="2" s="1"/>
  <c r="E109" i="2"/>
  <c r="G109" i="2" s="1"/>
  <c r="E46" i="2"/>
  <c r="G46" i="2" s="1"/>
  <c r="E113" i="2"/>
  <c r="G113" i="2" s="1"/>
  <c r="E112" i="2"/>
  <c r="G112" i="2" s="1"/>
  <c r="E127" i="2"/>
  <c r="G127" i="2" s="1"/>
  <c r="E85" i="2"/>
  <c r="G85" i="2" s="1"/>
  <c r="E32" i="2"/>
  <c r="G32" i="2" s="1"/>
  <c r="E92" i="2"/>
  <c r="G92" i="2" s="1"/>
  <c r="E121" i="2"/>
  <c r="G121" i="2" s="1"/>
  <c r="E133" i="2"/>
  <c r="E76" i="2"/>
  <c r="G76" i="2" s="1"/>
  <c r="E126" i="2"/>
  <c r="G126" i="2" s="1"/>
  <c r="E24" i="2"/>
  <c r="G24" i="2" s="1"/>
  <c r="E107" i="2"/>
  <c r="G107" i="2" s="1"/>
  <c r="E73" i="2"/>
  <c r="G73" i="2" s="1"/>
  <c r="E137" i="2"/>
  <c r="G137" i="2" s="1"/>
  <c r="E31" i="2"/>
  <c r="G31" i="2" s="1"/>
  <c r="E67" i="2"/>
  <c r="G67" i="2" s="1"/>
  <c r="E28" i="2"/>
  <c r="G28" i="2" s="1"/>
  <c r="E131" i="2"/>
  <c r="G131" i="2" s="1"/>
  <c r="E134" i="2"/>
  <c r="G134" i="2" s="1"/>
  <c r="E29" i="2"/>
  <c r="G29" i="2" s="1"/>
  <c r="E80" i="2"/>
  <c r="G80" i="2" s="1"/>
  <c r="E84" i="2"/>
  <c r="G84" i="2" s="1"/>
  <c r="E37" i="2"/>
  <c r="G37" i="2" s="1"/>
  <c r="E60" i="2"/>
  <c r="G60" i="2" s="1"/>
  <c r="E110" i="2"/>
  <c r="G110" i="2" s="1"/>
  <c r="E34" i="2"/>
  <c r="G34" i="2" s="1"/>
  <c r="E143" i="2"/>
  <c r="G143" i="2" s="1"/>
  <c r="E70" i="2"/>
  <c r="G70" i="2" s="1"/>
  <c r="E11" i="2"/>
  <c r="G11" i="2" s="1"/>
  <c r="E100" i="2"/>
  <c r="G100" i="2" s="1"/>
  <c r="G53" i="2"/>
  <c r="E119" i="2"/>
  <c r="G119" i="2" s="1"/>
  <c r="E62" i="2"/>
  <c r="G62" i="2" s="1"/>
  <c r="E108" i="2"/>
  <c r="G108" i="2" s="1"/>
  <c r="E101" i="2"/>
  <c r="G101" i="2" s="1"/>
  <c r="E97" i="2"/>
  <c r="G97" i="2" s="1"/>
  <c r="E44" i="2"/>
  <c r="G44" i="2" s="1"/>
  <c r="E48" i="2"/>
  <c r="G48" i="2" s="1"/>
  <c r="E49" i="2"/>
  <c r="G49" i="2" s="1"/>
  <c r="E47" i="2"/>
  <c r="G47" i="2" s="1"/>
  <c r="E78" i="2"/>
  <c r="G78" i="2" s="1"/>
  <c r="E87" i="2"/>
  <c r="G87" i="2" s="1"/>
  <c r="E2" i="2"/>
  <c r="G2" i="2" s="1"/>
  <c r="E104" i="2"/>
  <c r="G104" i="2" s="1"/>
  <c r="E106" i="2"/>
  <c r="G106" i="2" s="1"/>
  <c r="E135" i="2"/>
  <c r="G135" i="2" s="1"/>
  <c r="E88" i="2"/>
  <c r="G88" i="2" s="1"/>
  <c r="E19" i="2"/>
  <c r="G19" i="2" s="1"/>
  <c r="E141" i="2"/>
  <c r="G141" i="2" s="1"/>
  <c r="E105" i="2"/>
  <c r="G105" i="2" s="1"/>
  <c r="E94" i="2"/>
  <c r="G94" i="2" s="1"/>
  <c r="E8" i="2"/>
  <c r="G8" i="2" s="1"/>
  <c r="E79" i="2"/>
  <c r="G79" i="2" s="1"/>
  <c r="E5" i="2"/>
  <c r="G5" i="2" s="1"/>
  <c r="E7" i="2"/>
  <c r="G7" i="2" s="1"/>
  <c r="E75" i="2"/>
  <c r="G75" i="2" s="1"/>
  <c r="E86" i="2"/>
  <c r="G86" i="2" s="1"/>
  <c r="E43" i="2"/>
  <c r="G43" i="2" s="1"/>
  <c r="K136" i="3" l="1"/>
  <c r="K137" i="3"/>
  <c r="K163" i="3"/>
  <c r="K124" i="3"/>
  <c r="K76" i="3"/>
  <c r="K12" i="3"/>
  <c r="K67" i="3"/>
  <c r="K3" i="3"/>
  <c r="K2" i="3"/>
  <c r="K157" i="3"/>
  <c r="K172" i="3"/>
  <c r="K164" i="3"/>
  <c r="K149" i="3"/>
  <c r="K141" i="3"/>
  <c r="K116" i="3"/>
  <c r="K60" i="3"/>
  <c r="K44" i="3"/>
  <c r="K28" i="3"/>
  <c r="K151" i="3"/>
  <c r="K162" i="3"/>
  <c r="K159" i="3"/>
  <c r="K146" i="3"/>
  <c r="K140" i="3"/>
  <c r="K130" i="3"/>
  <c r="K122" i="3"/>
  <c r="K114" i="3"/>
  <c r="K106" i="3"/>
  <c r="K98" i="3"/>
  <c r="K90" i="3"/>
  <c r="K82" i="3"/>
  <c r="K74" i="3"/>
  <c r="K66" i="3"/>
  <c r="K58" i="3"/>
  <c r="K50" i="3"/>
  <c r="K42" i="3"/>
  <c r="K34" i="3"/>
  <c r="K26" i="3"/>
  <c r="K18" i="3"/>
  <c r="K10" i="3"/>
  <c r="K156" i="3"/>
  <c r="K132" i="3"/>
  <c r="K108" i="3"/>
  <c r="K84" i="3"/>
  <c r="K52" i="3"/>
  <c r="K20" i="3"/>
  <c r="K152" i="3"/>
  <c r="K161" i="3"/>
  <c r="K158" i="3"/>
  <c r="K145" i="3"/>
  <c r="K138" i="3"/>
  <c r="K129" i="3"/>
  <c r="K121" i="3"/>
  <c r="K113" i="3"/>
  <c r="K105" i="3"/>
  <c r="K97" i="3"/>
  <c r="K89" i="3"/>
  <c r="K81" i="3"/>
  <c r="K73" i="3"/>
  <c r="K65" i="3"/>
  <c r="K57" i="3"/>
  <c r="K49" i="3"/>
  <c r="K41" i="3"/>
  <c r="K33" i="3"/>
  <c r="K25" i="3"/>
  <c r="K17" i="3"/>
  <c r="K9" i="3"/>
  <c r="K155" i="3"/>
  <c r="K148" i="3"/>
  <c r="K128" i="3"/>
  <c r="K120" i="3"/>
  <c r="K112" i="3"/>
  <c r="K104" i="3"/>
  <c r="K96" i="3"/>
  <c r="K88" i="3"/>
  <c r="K80" i="3"/>
  <c r="K72" i="3"/>
  <c r="K64" i="3"/>
  <c r="K56" i="3"/>
  <c r="K48" i="3"/>
  <c r="K40" i="3"/>
  <c r="K32" i="3"/>
  <c r="K24" i="3"/>
  <c r="K16" i="3"/>
  <c r="K8" i="3"/>
  <c r="K7" i="3"/>
  <c r="K174" i="3"/>
  <c r="K133" i="3"/>
  <c r="K167" i="3"/>
  <c r="K154" i="3"/>
  <c r="K143" i="3"/>
  <c r="K127" i="3"/>
  <c r="K119" i="3"/>
  <c r="K111" i="3"/>
  <c r="K103" i="3"/>
  <c r="K95" i="3"/>
  <c r="K87" i="3"/>
  <c r="K79" i="3"/>
  <c r="K71" i="3"/>
  <c r="K63" i="3"/>
  <c r="K55" i="3"/>
  <c r="K47" i="3"/>
  <c r="K39" i="3"/>
  <c r="K31" i="3"/>
  <c r="K23" i="3"/>
  <c r="K15" i="3"/>
  <c r="K171" i="3"/>
  <c r="K175" i="3"/>
  <c r="K168" i="3"/>
  <c r="K153" i="3"/>
  <c r="K142" i="3"/>
  <c r="K135" i="3"/>
  <c r="K126" i="3"/>
  <c r="K118" i="3"/>
  <c r="K110" i="3"/>
  <c r="K102" i="3"/>
  <c r="K94" i="3"/>
  <c r="K86" i="3"/>
  <c r="K78" i="3"/>
  <c r="K70" i="3"/>
  <c r="K62" i="3"/>
  <c r="K54" i="3"/>
  <c r="K46" i="3"/>
  <c r="K38" i="3"/>
  <c r="K30" i="3"/>
  <c r="K22" i="3"/>
  <c r="K14" i="3"/>
  <c r="K6" i="3"/>
  <c r="K169" i="3"/>
  <c r="K173" i="3"/>
  <c r="K165" i="3"/>
  <c r="K150" i="3"/>
  <c r="K144" i="3"/>
  <c r="K134" i="3"/>
  <c r="K125" i="3"/>
  <c r="K117" i="3"/>
  <c r="K109" i="3"/>
  <c r="K101" i="3"/>
  <c r="K93" i="3"/>
  <c r="K85" i="3"/>
  <c r="K77" i="3"/>
  <c r="K69" i="3"/>
  <c r="K61" i="3"/>
  <c r="K53" i="3"/>
  <c r="K45" i="3"/>
  <c r="K37" i="3"/>
  <c r="K29" i="3"/>
  <c r="K21" i="3"/>
  <c r="K13" i="3"/>
  <c r="K5" i="3"/>
  <c r="K4" i="3"/>
  <c r="K100" i="3"/>
  <c r="K92" i="3"/>
  <c r="K68" i="3"/>
  <c r="K36" i="3"/>
  <c r="K170" i="3"/>
  <c r="K166" i="3"/>
  <c r="K160" i="3"/>
  <c r="K147" i="3"/>
  <c r="K139" i="3"/>
  <c r="K131" i="3"/>
  <c r="K123" i="3"/>
  <c r="K115" i="3"/>
  <c r="K107" i="3"/>
  <c r="K99" i="3"/>
  <c r="K91" i="3"/>
  <c r="K83" i="3"/>
  <c r="K75" i="3"/>
  <c r="K59" i="3"/>
  <c r="K51" i="3"/>
  <c r="K43" i="3"/>
  <c r="K35" i="3"/>
  <c r="K27" i="3"/>
  <c r="K19" i="3"/>
  <c r="K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Rincan - SVEM</author>
  </authors>
  <commentList>
    <comment ref="F22" authorId="0" shapeId="0" xr:uid="{F31BE9BC-0BAE-4CE1-9C04-087272937472}">
      <text>
        <r>
          <rPr>
            <b/>
            <sz val="9"/>
            <color indexed="81"/>
            <rFont val="Tahoma"/>
            <family val="2"/>
          </rPr>
          <t>Carlos Rincan - SVEM:</t>
        </r>
        <r>
          <rPr>
            <sz val="9"/>
            <color indexed="81"/>
            <rFont val="Tahoma"/>
            <family val="2"/>
          </rPr>
          <t xml:space="preserve">
21/11/2025
</t>
        </r>
      </text>
    </comment>
    <comment ref="E86" authorId="0" shapeId="0" xr:uid="{2516843F-FC89-4197-9DB0-E0EE0F3CE7D4}">
      <text>
        <r>
          <rPr>
            <b/>
            <sz val="9"/>
            <color indexed="81"/>
            <rFont val="Tahoma"/>
            <family val="2"/>
          </rPr>
          <t>Carlos Rincan - SVEM:</t>
        </r>
        <r>
          <rPr>
            <sz val="9"/>
            <color indexed="81"/>
            <rFont val="Tahoma"/>
            <family val="2"/>
          </rPr>
          <t xml:space="preserve">
27 11 VINO DE REPA
</t>
        </r>
      </text>
    </comment>
    <comment ref="F86" authorId="0" shapeId="0" xr:uid="{061ABDFB-F389-4584-ACD6-47BC9BBE1048}">
      <text>
        <r>
          <rPr>
            <b/>
            <sz val="9"/>
            <color indexed="81"/>
            <rFont val="Tahoma"/>
            <family val="2"/>
          </rPr>
          <t>Carlos Rincan - SVEM:</t>
        </r>
        <r>
          <rPr>
            <sz val="9"/>
            <color indexed="81"/>
            <rFont val="Tahoma"/>
            <family val="2"/>
          </rPr>
          <t xml:space="preserve">
27 11 VINO DE REPA
</t>
        </r>
      </text>
    </comment>
  </commentList>
</comments>
</file>

<file path=xl/sharedStrings.xml><?xml version="1.0" encoding="utf-8"?>
<sst xmlns="http://schemas.openxmlformats.org/spreadsheetml/2006/main" count="2868" uniqueCount="806">
  <si>
    <t xml:space="preserve">NUMERO RP4 </t>
  </si>
  <si>
    <t>RUTA</t>
  </si>
  <si>
    <t>SUPERVISOR</t>
  </si>
  <si>
    <t xml:space="preserve">NUMERO DE SERIE </t>
  </si>
  <si>
    <t>IS EN REPARACIÓN</t>
  </si>
  <si>
    <t>RETORNÓ D REPARACIÓN</t>
  </si>
  <si>
    <t>CAMBIO DE BATERIA</t>
  </si>
  <si>
    <t>RP4-A00N0B02</t>
  </si>
  <si>
    <t>DS0005</t>
  </si>
  <si>
    <t>ALEXANDER SAÑA</t>
  </si>
  <si>
    <t>S/N 21077N0177</t>
  </si>
  <si>
    <t>DS0006</t>
  </si>
  <si>
    <t>S/N 21076N09C3</t>
  </si>
  <si>
    <t>SI</t>
  </si>
  <si>
    <t>DS0007</t>
  </si>
  <si>
    <t>S/N 21179N0149</t>
  </si>
  <si>
    <t>DS0009</t>
  </si>
  <si>
    <t>S/N 21167N0372</t>
  </si>
  <si>
    <t>DS0011</t>
  </si>
  <si>
    <t>S/N 21069N089C</t>
  </si>
  <si>
    <t>7/10/2025/30/04/26</t>
  </si>
  <si>
    <t>DS0022</t>
  </si>
  <si>
    <t>S/N 21167N0368</t>
  </si>
  <si>
    <t>DS0036</t>
  </si>
  <si>
    <t>S/N 21077N0178</t>
  </si>
  <si>
    <t>DS0037</t>
  </si>
  <si>
    <t>S/N 21076N0B3A</t>
  </si>
  <si>
    <t>DS0038</t>
  </si>
  <si>
    <t>S/N 21076N0B4A</t>
  </si>
  <si>
    <t>DS0040</t>
  </si>
  <si>
    <t>S/N 21076N0B62</t>
  </si>
  <si>
    <t>DS0046</t>
  </si>
  <si>
    <t>S/N 21167N035E</t>
  </si>
  <si>
    <t>DS0059</t>
  </si>
  <si>
    <t>S/N 21091N0A7E</t>
  </si>
  <si>
    <t>DS0062</t>
  </si>
  <si>
    <t>S/N 21069N0098</t>
  </si>
  <si>
    <t>DS0066</t>
  </si>
  <si>
    <t>S/N21069N0896/PR21180N0317</t>
  </si>
  <si>
    <t>DS0072</t>
  </si>
  <si>
    <t>S/N 21179N0123</t>
  </si>
  <si>
    <t>DS0080</t>
  </si>
  <si>
    <t>S/N 21168N03EE</t>
  </si>
  <si>
    <t>DS0084</t>
  </si>
  <si>
    <t>S/N 21078N5592</t>
  </si>
  <si>
    <t>DS00E2</t>
  </si>
  <si>
    <t>S/N 21069N007D</t>
  </si>
  <si>
    <t>DS0003</t>
  </si>
  <si>
    <t>BRIAN LAZO</t>
  </si>
  <si>
    <t>S/N 21167N0393</t>
  </si>
  <si>
    <t>DS0013</t>
  </si>
  <si>
    <t>S/N 21180N0319</t>
  </si>
  <si>
    <t>DS0019</t>
  </si>
  <si>
    <t>S/N 21070N0211</t>
  </si>
  <si>
    <t>5/1/2026-09/06/26</t>
  </si>
  <si>
    <t>DS0023</t>
  </si>
  <si>
    <t>S/N 21078N5067</t>
  </si>
  <si>
    <t>DS0031</t>
  </si>
  <si>
    <t>S/N 21077N017B</t>
  </si>
  <si>
    <t>DS0033</t>
  </si>
  <si>
    <t>S/N 21077N0192</t>
  </si>
  <si>
    <t>22313N03AA</t>
  </si>
  <si>
    <t>DS0034</t>
  </si>
  <si>
    <t>S/N 21076N0B1F</t>
  </si>
  <si>
    <t>RP4-ASVSYIR0085</t>
  </si>
  <si>
    <t>DS0035</t>
  </si>
  <si>
    <t>S/N 21090N0962</t>
  </si>
  <si>
    <t>27/6/2025/19/09-02/10</t>
  </si>
  <si>
    <t>3/9/2025-24/09/17-10</t>
  </si>
  <si>
    <t>DS0050</t>
  </si>
  <si>
    <t>S/N 21078N5414</t>
  </si>
  <si>
    <t>DS0054</t>
  </si>
  <si>
    <t>S/N 21070N020A</t>
  </si>
  <si>
    <t>DS0061</t>
  </si>
  <si>
    <t>S/N 21076N0B5C</t>
  </si>
  <si>
    <t>DS0076</t>
  </si>
  <si>
    <t>S/N 21076N0B65</t>
  </si>
  <si>
    <t>DS0083</t>
  </si>
  <si>
    <t>S/N 21077N017D</t>
  </si>
  <si>
    <t>DS0086</t>
  </si>
  <si>
    <t>S/N 21180N031F</t>
  </si>
  <si>
    <t>DS0086BIS/DS0035</t>
  </si>
  <si>
    <t>DS0088</t>
  </si>
  <si>
    <t>S/N 21088N078C</t>
  </si>
  <si>
    <t>RECUPERADO</t>
  </si>
  <si>
    <t>20/11/2025-09/06/26</t>
  </si>
  <si>
    <t>DS00A3</t>
  </si>
  <si>
    <t>S/N 21076N0B4B</t>
  </si>
  <si>
    <t>12/9/2025--16/05/26</t>
  </si>
  <si>
    <t>DS00B4</t>
  </si>
  <si>
    <t>S/N 21077N01BF</t>
  </si>
  <si>
    <t>DS00B8</t>
  </si>
  <si>
    <t>S/N 21076N0B63</t>
  </si>
  <si>
    <t>DS0008</t>
  </si>
  <si>
    <t>COORDINACION</t>
  </si>
  <si>
    <t>S/N 21180N031C</t>
  </si>
  <si>
    <t xml:space="preserve"> </t>
  </si>
  <si>
    <t xml:space="preserve">ESTA FÍSICO </t>
  </si>
  <si>
    <t>DS0015</t>
  </si>
  <si>
    <t>S/N 21168N03E9</t>
  </si>
  <si>
    <t>RP4A00N0B02</t>
  </si>
  <si>
    <t>DS0043</t>
  </si>
  <si>
    <t>S/N 21078N5545</t>
  </si>
  <si>
    <t>DS0045</t>
  </si>
  <si>
    <t>S/N 22178N05AA</t>
  </si>
  <si>
    <t>DS0048</t>
  </si>
  <si>
    <t>S/N 21169N0821</t>
  </si>
  <si>
    <t>DS0064</t>
  </si>
  <si>
    <t>S/N 21069N08B7</t>
  </si>
  <si>
    <t>DS0091</t>
  </si>
  <si>
    <t>S/N 21167N0360</t>
  </si>
  <si>
    <t>RP4-21078N5386</t>
  </si>
  <si>
    <t>DS0095</t>
  </si>
  <si>
    <t>S/N 21076N0B47</t>
  </si>
  <si>
    <t>DS00BK1</t>
  </si>
  <si>
    <t>S/N 21076N0B44</t>
  </si>
  <si>
    <t>DS00BK10</t>
  </si>
  <si>
    <t>S/N 21076N0B64</t>
  </si>
  <si>
    <t>DS00BK11</t>
  </si>
  <si>
    <t>S/N 21076N0B56</t>
  </si>
  <si>
    <t>DS00BK12</t>
  </si>
  <si>
    <t>S/N 21076N09AA</t>
  </si>
  <si>
    <t>DS00BK13</t>
  </si>
  <si>
    <t>S/N 21077N01A5</t>
  </si>
  <si>
    <t>DS00BK14</t>
  </si>
  <si>
    <t>S/N 21078N5543</t>
  </si>
  <si>
    <t>DS00BK15</t>
  </si>
  <si>
    <t>S/N 21076N0B58</t>
  </si>
  <si>
    <t>DS00BK16</t>
  </si>
  <si>
    <t>S/N 21077N017E</t>
  </si>
  <si>
    <t>RP4-SVSYIR0100</t>
  </si>
  <si>
    <t>DS00BK17</t>
  </si>
  <si>
    <t>S/N 21077N01A0</t>
  </si>
  <si>
    <t>DS00BK2</t>
  </si>
  <si>
    <t>S/N 21088N0775</t>
  </si>
  <si>
    <t>DS00BK3</t>
  </si>
  <si>
    <t>S/N 21168N03F0</t>
  </si>
  <si>
    <t>RPP4-22176N032C</t>
  </si>
  <si>
    <t>DS00BK4</t>
  </si>
  <si>
    <t>S/N 22176N032C</t>
  </si>
  <si>
    <t>RP4-SVSYIR0388</t>
  </si>
  <si>
    <t>DS00BK5</t>
  </si>
  <si>
    <t>S/N21076N09A9</t>
  </si>
  <si>
    <t>RP4-SVSYIR0020</t>
  </si>
  <si>
    <t>DS00BK6</t>
  </si>
  <si>
    <t>S/N21069N0879</t>
  </si>
  <si>
    <t>DS00BK7</t>
  </si>
  <si>
    <t>S/N 21078N5125</t>
  </si>
  <si>
    <t>RP4-SVSYIR0031</t>
  </si>
  <si>
    <t>DS00BK8</t>
  </si>
  <si>
    <t>S/N  21078N5461</t>
  </si>
  <si>
    <t>DS00BK9</t>
  </si>
  <si>
    <t>S/N 21076N09C4</t>
  </si>
  <si>
    <t>DS00C5</t>
  </si>
  <si>
    <t>S/N21076N0B3C</t>
  </si>
  <si>
    <t>DS00D1</t>
  </si>
  <si>
    <t>S/N 21088N0772</t>
  </si>
  <si>
    <t>DS00D2</t>
  </si>
  <si>
    <t>S/N21078N5097</t>
  </si>
  <si>
    <t>RP4-SVSYIR0094</t>
  </si>
  <si>
    <t>DS00D3</t>
  </si>
  <si>
    <t>S/N 21077N01A3</t>
  </si>
  <si>
    <t>DS00D4</t>
  </si>
  <si>
    <t>S/N 21088N079F</t>
  </si>
  <si>
    <t>DS00D5</t>
  </si>
  <si>
    <t>S/N 21078N5538</t>
  </si>
  <si>
    <t>DS00DC</t>
  </si>
  <si>
    <t>S/N 21076N0B45</t>
  </si>
  <si>
    <t>DS00DE</t>
  </si>
  <si>
    <t>S/N 21076N09C8</t>
  </si>
  <si>
    <t>RP4-SVSYIR0033</t>
  </si>
  <si>
    <t>DS00DF</t>
  </si>
  <si>
    <t>S/N 21078N5384</t>
  </si>
  <si>
    <t>DS00DG</t>
  </si>
  <si>
    <t>S/N 21076N0B1E</t>
  </si>
  <si>
    <t>DS00DH</t>
  </si>
  <si>
    <t>S/N 21167N032E</t>
  </si>
  <si>
    <t>DS00DJ</t>
  </si>
  <si>
    <t>S/N 21077N01A9</t>
  </si>
  <si>
    <t>DS00DK</t>
  </si>
  <si>
    <t>S/N 21069N087E</t>
  </si>
  <si>
    <t>DS00DL</t>
  </si>
  <si>
    <t>S/N 21077N019A</t>
  </si>
  <si>
    <t>DS00DM</t>
  </si>
  <si>
    <t>S/N 21088N0796</t>
  </si>
  <si>
    <t>EXTRAVIADO</t>
  </si>
  <si>
    <t>DS00DN</t>
  </si>
  <si>
    <t>S/N 21076N09C2</t>
  </si>
  <si>
    <t>RP4-SVSYIR0092</t>
  </si>
  <si>
    <t>DS00DO</t>
  </si>
  <si>
    <t>S/N 21091N0A7D</t>
  </si>
  <si>
    <t>RP4-SVSYIR0088</t>
  </si>
  <si>
    <t>DS00DP</t>
  </si>
  <si>
    <t>S/N 21090N095F</t>
  </si>
  <si>
    <t>1/9/2025/24/09/25/23-10</t>
  </si>
  <si>
    <t>DS00DS</t>
  </si>
  <si>
    <t>S/N 21076N0B5F</t>
  </si>
  <si>
    <t>DS00DT</t>
  </si>
  <si>
    <t>S/N 21078N5542</t>
  </si>
  <si>
    <t>DS00DV</t>
  </si>
  <si>
    <t>S/N 21076N09B6</t>
  </si>
  <si>
    <t>RP4-21078N5575</t>
  </si>
  <si>
    <t>DS00DW</t>
  </si>
  <si>
    <t>S/N 21078N5575</t>
  </si>
  <si>
    <t>DS00GH</t>
  </si>
  <si>
    <t>S/N 21089N0B31</t>
  </si>
  <si>
    <t>DS00T6</t>
  </si>
  <si>
    <t>S/N 21070N0212</t>
  </si>
  <si>
    <t>DS00T7</t>
  </si>
  <si>
    <t>S/N 21168N03F8</t>
  </si>
  <si>
    <t>DS00U2</t>
  </si>
  <si>
    <t>S/N 21076N09B5</t>
  </si>
  <si>
    <t>DS00U3</t>
  </si>
  <si>
    <t>S/N 21078N5547</t>
  </si>
  <si>
    <t>DS0004</t>
  </si>
  <si>
    <t>ELIAS MONTECINOS</t>
  </si>
  <si>
    <t>S/N 21168N03F3</t>
  </si>
  <si>
    <t>DS0010</t>
  </si>
  <si>
    <t>S/N 21077N019D</t>
  </si>
  <si>
    <t>DS0012</t>
  </si>
  <si>
    <t>S/N 21077N0179</t>
  </si>
  <si>
    <t>DS0016</t>
  </si>
  <si>
    <t>S/N 21069N089D</t>
  </si>
  <si>
    <t>DS0017</t>
  </si>
  <si>
    <t>S/N 21069N0894</t>
  </si>
  <si>
    <t>22315N0021</t>
  </si>
  <si>
    <t>DS0021</t>
  </si>
  <si>
    <t>S/N 21077N017A</t>
  </si>
  <si>
    <t>DS0024</t>
  </si>
  <si>
    <t>S/N 21070N0371/N05FD</t>
  </si>
  <si>
    <t>DS0025</t>
  </si>
  <si>
    <t>S/N 21069N007E</t>
  </si>
  <si>
    <t>DS0027</t>
  </si>
  <si>
    <t>S/N 22179N0CDD</t>
  </si>
  <si>
    <t>DS0028</t>
  </si>
  <si>
    <t>S/N 21076N0B39</t>
  </si>
  <si>
    <t>DS0055</t>
  </si>
  <si>
    <t>S/N 21076N0B46</t>
  </si>
  <si>
    <t>DS0079</t>
  </si>
  <si>
    <t>S/N 21078N5388</t>
  </si>
  <si>
    <t>DS0081</t>
  </si>
  <si>
    <t>S/N 21076N0B34</t>
  </si>
  <si>
    <t>DS0089</t>
  </si>
  <si>
    <t>S/N 21076N09AE</t>
  </si>
  <si>
    <t>DS0090</t>
  </si>
  <si>
    <t>S/N 21168N03F6</t>
  </si>
  <si>
    <t>DS0099</t>
  </si>
  <si>
    <t>S/N 21088N076C</t>
  </si>
  <si>
    <t>DS00A2</t>
  </si>
  <si>
    <t>S/N 21168N0438</t>
  </si>
  <si>
    <t>DS00E3</t>
  </si>
  <si>
    <t>S/N 21088N0771</t>
  </si>
  <si>
    <t>DS000H</t>
  </si>
  <si>
    <t>HENRI CHAVARRIA</t>
  </si>
  <si>
    <t>S/N 21090N0960</t>
  </si>
  <si>
    <t>4/12/2025-06/06/26</t>
  </si>
  <si>
    <t>DS001H</t>
  </si>
  <si>
    <t>S/N 21088N075F</t>
  </si>
  <si>
    <t>DS002H</t>
  </si>
  <si>
    <t>S/N 21078N5563</t>
  </si>
  <si>
    <t>DS003H</t>
  </si>
  <si>
    <t>S/N 21076N0B48</t>
  </si>
  <si>
    <t>DS004H</t>
  </si>
  <si>
    <t>S/N 21076N0B49</t>
  </si>
  <si>
    <t>DS005H</t>
  </si>
  <si>
    <t>S/N 21076N0B5A</t>
  </si>
  <si>
    <t>DS006H</t>
  </si>
  <si>
    <t>S/N 21076N0B5B</t>
  </si>
  <si>
    <t>DS007H</t>
  </si>
  <si>
    <t>S/N 21076N0B59</t>
  </si>
  <si>
    <t>DS008H</t>
  </si>
  <si>
    <t>S/N 21076N09B0</t>
  </si>
  <si>
    <t>DS009H</t>
  </si>
  <si>
    <t>S/N 21078N5423</t>
  </si>
  <si>
    <t>DS00AH</t>
  </si>
  <si>
    <t>S/N 21088N0778</t>
  </si>
  <si>
    <t>DS00BH</t>
  </si>
  <si>
    <t>S/N 21078N5368</t>
  </si>
  <si>
    <t>DS00CH</t>
  </si>
  <si>
    <t>S/N 21078N5437</t>
  </si>
  <si>
    <t>DS00EH</t>
  </si>
  <si>
    <t>S/N 21078N5076</t>
  </si>
  <si>
    <t>DS00FH</t>
  </si>
  <si>
    <t xml:space="preserve"> N/S21089N0B19</t>
  </si>
  <si>
    <t>DS00H0</t>
  </si>
  <si>
    <t>S/N 21089N0B24</t>
  </si>
  <si>
    <t>DS00H1</t>
  </si>
  <si>
    <t>S/N 21078N5440</t>
  </si>
  <si>
    <t>7/10/2025/30/01/26</t>
  </si>
  <si>
    <t>DS00H2</t>
  </si>
  <si>
    <t>S/N 21078N5458</t>
  </si>
  <si>
    <t>DS00H3</t>
  </si>
  <si>
    <t>S/N21069N009B</t>
  </si>
  <si>
    <t>DS00H4</t>
  </si>
  <si>
    <t>S/N 21078N5330</t>
  </si>
  <si>
    <t>DS00H5</t>
  </si>
  <si>
    <t>S/N 21069N0874</t>
  </si>
  <si>
    <t>DS00H6</t>
  </si>
  <si>
    <t>S/N 21069N009A</t>
  </si>
  <si>
    <t>DS00H7</t>
  </si>
  <si>
    <t>S/N 21069N0094</t>
  </si>
  <si>
    <t>DS00H8</t>
  </si>
  <si>
    <t>S/N 21069N0097</t>
  </si>
  <si>
    <t>DS00H9</t>
  </si>
  <si>
    <t>S/N 21069N0099</t>
  </si>
  <si>
    <t>DS0020</t>
  </si>
  <si>
    <t>ISAIAS MARIN</t>
  </si>
  <si>
    <t>S/N21090N0966</t>
  </si>
  <si>
    <t>DS0029(dc)</t>
  </si>
  <si>
    <t>S/N 21076N09B8</t>
  </si>
  <si>
    <t>19/3/2026/09/06/26</t>
  </si>
  <si>
    <t>DS0030</t>
  </si>
  <si>
    <t>S/N 21077N01BD</t>
  </si>
  <si>
    <t>DS0053</t>
  </si>
  <si>
    <t>S/N 21078N5409</t>
  </si>
  <si>
    <t>DS0058</t>
  </si>
  <si>
    <t>S/N 21069N007F</t>
  </si>
  <si>
    <t>DS0067</t>
  </si>
  <si>
    <t>S/N 21174N0A31</t>
  </si>
  <si>
    <t>DS0078</t>
  </si>
  <si>
    <t>S/N 21077N01A6</t>
  </si>
  <si>
    <t>DS0082</t>
  </si>
  <si>
    <t>S/N 21077N01BB</t>
  </si>
  <si>
    <t>DS0087</t>
  </si>
  <si>
    <t>S/N 21077N0198</t>
  </si>
  <si>
    <t>DS0096</t>
  </si>
  <si>
    <t>S/N 21076N0B32</t>
  </si>
  <si>
    <t>DS0097</t>
  </si>
  <si>
    <t>S/N 21077N0180</t>
  </si>
  <si>
    <t>DS0098</t>
  </si>
  <si>
    <t>S/N 21076N09B1</t>
  </si>
  <si>
    <t>DS00A5</t>
  </si>
  <si>
    <t>S/N 21076N09A6 - 25295N05F9</t>
  </si>
  <si>
    <t>EXTRAVIADO/COMPRADO</t>
  </si>
  <si>
    <t>10/4/2026-16/05/26</t>
  </si>
  <si>
    <t>DS00A7</t>
  </si>
  <si>
    <t>S/N22178N05C6</t>
  </si>
  <si>
    <t>DS00B9</t>
  </si>
  <si>
    <t>S/N 22178N0094</t>
  </si>
  <si>
    <t>DS00T2</t>
  </si>
  <si>
    <t>S/N21168N0416</t>
  </si>
  <si>
    <t>DS0001</t>
  </si>
  <si>
    <t>JUAN SIBRIAN</t>
  </si>
  <si>
    <t>S/N 21077N01C0</t>
  </si>
  <si>
    <t>DS0002</t>
  </si>
  <si>
    <t>S/N 21168N041A</t>
  </si>
  <si>
    <t>DS0014</t>
  </si>
  <si>
    <t>S/N 21077N01BE</t>
  </si>
  <si>
    <t>DS0018</t>
  </si>
  <si>
    <t>S/N 21180N0334</t>
  </si>
  <si>
    <t>DS0032</t>
  </si>
  <si>
    <t>S/N 22178N076A</t>
  </si>
  <si>
    <t>DS0039</t>
  </si>
  <si>
    <t>S/N 21076N0B20</t>
  </si>
  <si>
    <t>DS0041</t>
  </si>
  <si>
    <t>S/N 21076N0B1C</t>
  </si>
  <si>
    <t>DS0042</t>
  </si>
  <si>
    <t>S/N 21090N092A</t>
  </si>
  <si>
    <t>DS0056</t>
  </si>
  <si>
    <t>S/N 21078N5406</t>
  </si>
  <si>
    <t>DS0068</t>
  </si>
  <si>
    <t>S/N 21077N017C</t>
  </si>
  <si>
    <t>DS0069</t>
  </si>
  <si>
    <t>S/N 21091N0A7C</t>
  </si>
  <si>
    <t>DS0074</t>
  </si>
  <si>
    <t>S/N 21076N0B36</t>
  </si>
  <si>
    <t>DS0077</t>
  </si>
  <si>
    <t>S/N 21076N0B29</t>
  </si>
  <si>
    <t>DS0092</t>
  </si>
  <si>
    <t>S/N 21077N01A7</t>
  </si>
  <si>
    <t>DS00B2</t>
  </si>
  <si>
    <t>S/N 21069N0882</t>
  </si>
  <si>
    <t>DS00DD</t>
  </si>
  <si>
    <t>BRYAN GALDÁMEZ</t>
  </si>
  <si>
    <t>NUEVA RUTA</t>
  </si>
  <si>
    <t>DS0051</t>
  </si>
  <si>
    <t>DS0075</t>
  </si>
  <si>
    <t>DS0029</t>
  </si>
  <si>
    <t>DS0044</t>
  </si>
  <si>
    <t>DS00U5</t>
  </si>
  <si>
    <t>DS00U7</t>
  </si>
  <si>
    <t>DS00HC</t>
  </si>
  <si>
    <t>ELMER FIGUEROA</t>
  </si>
  <si>
    <t>JOSE ALEXANDER GARCIA SAÑA</t>
  </si>
  <si>
    <t>JUAN CARLOS RAMIREZ SIBRIAN</t>
  </si>
  <si>
    <t>S/N 21069N0896</t>
  </si>
  <si>
    <t>S/N 25295N05FD</t>
  </si>
  <si>
    <t>KASSANDRA HERNÁNDEZ</t>
  </si>
  <si>
    <t>STICKER ACTUALIZADO</t>
  </si>
  <si>
    <t>NOK</t>
  </si>
  <si>
    <t>S/N 21089N0B19</t>
  </si>
  <si>
    <t>RP4-A00NOB02</t>
  </si>
  <si>
    <t>S/N 22313N03F8</t>
  </si>
  <si>
    <t xml:space="preserve">RP4-A00N0B02 </t>
  </si>
  <si>
    <t>DUMMY HOD</t>
  </si>
  <si>
    <t>COMENTARIO</t>
  </si>
  <si>
    <t xml:space="preserve">S/N 21078N5575 </t>
  </si>
  <si>
    <t xml:space="preserve">S/N 22178N0094 </t>
  </si>
  <si>
    <t>S/N 21167N0346</t>
  </si>
  <si>
    <t>NUEVA</t>
  </si>
  <si>
    <t>S/N 21179N0150</t>
  </si>
  <si>
    <t>RP4-F00N0B12</t>
  </si>
  <si>
    <t xml:space="preserve">S/N 21069N0879 </t>
  </si>
  <si>
    <t>S/N 21078N5408</t>
  </si>
  <si>
    <t>S/N 25335N03E7</t>
  </si>
  <si>
    <t xml:space="preserve">S/N 21078N5461 </t>
  </si>
  <si>
    <t>S/N 22313N03AA</t>
  </si>
  <si>
    <t>S/N 22315N0030</t>
  </si>
  <si>
    <t>S/N  21180N031C</t>
  </si>
  <si>
    <t>S/N 21076N0B3C</t>
  </si>
  <si>
    <t>S/N 21173N0860</t>
  </si>
  <si>
    <t xml:space="preserve">S/N 21076N0B64 </t>
  </si>
  <si>
    <t>DS00E1</t>
  </si>
  <si>
    <t>NO FUNCIONA</t>
  </si>
  <si>
    <t>Pendiente de Asignar</t>
  </si>
  <si>
    <t>Coordinación</t>
  </si>
  <si>
    <t>S/N21076N09C3</t>
  </si>
  <si>
    <t>N/D</t>
  </si>
  <si>
    <t>S/N 21076N09A9</t>
  </si>
  <si>
    <t>S/N 21153N0D83</t>
  </si>
  <si>
    <t>S/N 22178N05C6</t>
  </si>
  <si>
    <t>S/N 22315N0021</t>
  </si>
  <si>
    <t>S/N 21173N0795</t>
  </si>
  <si>
    <t>No funciona</t>
  </si>
  <si>
    <t>S/N 21069N009B</t>
  </si>
  <si>
    <t>No funciona y sin batería</t>
  </si>
  <si>
    <t>S/N 25295N05F2</t>
  </si>
  <si>
    <t>Quebrada, nueva</t>
  </si>
  <si>
    <t>N°</t>
  </si>
  <si>
    <t>Estado</t>
  </si>
  <si>
    <t>Nombre</t>
  </si>
  <si>
    <t>Número de serie</t>
  </si>
  <si>
    <t>Fabricante</t>
  </si>
  <si>
    <t>Modelo</t>
  </si>
  <si>
    <t>Ubicación</t>
  </si>
  <si>
    <t>Asignado a</t>
  </si>
  <si>
    <t>Comentarios</t>
  </si>
  <si>
    <t>Activo</t>
  </si>
  <si>
    <t>MAZPRNES-21069N006F</t>
  </si>
  <si>
    <t>21069N006F</t>
  </si>
  <si>
    <t>Honeywell</t>
  </si>
  <si>
    <t>RP4B</t>
  </si>
  <si>
    <t>SV_ESR_CD_Soyapango</t>
  </si>
  <si>
    <t>Felix Chavez</t>
  </si>
  <si>
    <t>MAZPRNES-21069N007D</t>
  </si>
  <si>
    <t>21069N007D</t>
  </si>
  <si>
    <t>MAZPRNES-21069N007E</t>
  </si>
  <si>
    <t>21069N007E</t>
  </si>
  <si>
    <t>MAZPRNES-21069N007F</t>
  </si>
  <si>
    <t>21069N007F</t>
  </si>
  <si>
    <t>MAZPRNES-21069N0097</t>
  </si>
  <si>
    <t>21069N0097</t>
  </si>
  <si>
    <t>MAZPRNES-21069N0098</t>
  </si>
  <si>
    <t>21069N0098</t>
  </si>
  <si>
    <t>MAZPRNES-21069N0099</t>
  </si>
  <si>
    <t>21069N0099</t>
  </si>
  <si>
    <t>MAZPRNES-21069N009A</t>
  </si>
  <si>
    <t>21069N009A</t>
  </si>
  <si>
    <t>MAZPRNES-21069N0874</t>
  </si>
  <si>
    <t>21069N0874</t>
  </si>
  <si>
    <t>MAZPRNES-21069N087E</t>
  </si>
  <si>
    <t>21069N087E</t>
  </si>
  <si>
    <t>MAZPRNES-21069N0882</t>
  </si>
  <si>
    <t>21069N0882</t>
  </si>
  <si>
    <t>MAZPRNES-21069N0896</t>
  </si>
  <si>
    <t>21069N0896</t>
  </si>
  <si>
    <t>MAZPRNES-21069N089C</t>
  </si>
  <si>
    <t>21069N089C</t>
  </si>
  <si>
    <t>MAZPRNES-21069N089D</t>
  </si>
  <si>
    <t>21069N089D</t>
  </si>
  <si>
    <t>MAZPRNES-21069N08B7</t>
  </si>
  <si>
    <t>21069N08B7</t>
  </si>
  <si>
    <t>MAZPRNES-21070N020A</t>
  </si>
  <si>
    <t>21070N020A</t>
  </si>
  <si>
    <t>MAZPRNES-21070N0211</t>
  </si>
  <si>
    <t>21070N0211</t>
  </si>
  <si>
    <t>MAZPRNES-21070N0212</t>
  </si>
  <si>
    <t>21070N0212</t>
  </si>
  <si>
    <t>MAZPRNES-21076N09A6</t>
  </si>
  <si>
    <t>21076N09A6</t>
  </si>
  <si>
    <t>MAZPRNES-21076N09A9</t>
  </si>
  <si>
    <t>21076N09A9</t>
  </si>
  <si>
    <t>MAZPRNES-21076N09AA</t>
  </si>
  <si>
    <t>21076N09AA</t>
  </si>
  <si>
    <t>MAZPRNES-21076N09AE</t>
  </si>
  <si>
    <t>21076N09AE</t>
  </si>
  <si>
    <t>MAZPRNES-21076N09B0</t>
  </si>
  <si>
    <t>21076N09B0</t>
  </si>
  <si>
    <t>MAZPRNES-21076N09B1</t>
  </si>
  <si>
    <t>21076N09B1</t>
  </si>
  <si>
    <t>MAZPRNES-21076N09B5</t>
  </si>
  <si>
    <t>21076N09B5</t>
  </si>
  <si>
    <t>MAZPRNES-21076N09B6</t>
  </si>
  <si>
    <t>21076N09B6</t>
  </si>
  <si>
    <t>MAZPRNES-21076N09B8</t>
  </si>
  <si>
    <t>21076N09B8</t>
  </si>
  <si>
    <t>MAZPRNES-21076N09BE</t>
  </si>
  <si>
    <t>21076N09BE</t>
  </si>
  <si>
    <t>MAZPRNES-21076N09C2</t>
  </si>
  <si>
    <t>21076N09C2</t>
  </si>
  <si>
    <t>MAZPRNES-21076n09c3</t>
  </si>
  <si>
    <t>21076n09c3</t>
  </si>
  <si>
    <t>MAZPRNES-21076N09C4</t>
  </si>
  <si>
    <t>21076N09C4</t>
  </si>
  <si>
    <t>MAZPRNES-21076N09C6</t>
  </si>
  <si>
    <t>21076N09C6</t>
  </si>
  <si>
    <t>MAZPRNES-21076N09C8</t>
  </si>
  <si>
    <t>21076N09C8</t>
  </si>
  <si>
    <t>MAZPRNES-21076N0B1C</t>
  </si>
  <si>
    <t>21076N0B1C</t>
  </si>
  <si>
    <t>MAZPRNES-21076n0b1e</t>
  </si>
  <si>
    <t>21076n0b1e</t>
  </si>
  <si>
    <t>MAZPRNES-21076N0B1F</t>
  </si>
  <si>
    <t>21076N0B1F</t>
  </si>
  <si>
    <t>MAZPRNES-21076n0b20</t>
  </si>
  <si>
    <t>21076n0b20</t>
  </si>
  <si>
    <t>MAZPRNES-21076N0B23</t>
  </si>
  <si>
    <t>21076N0B23</t>
  </si>
  <si>
    <t>MAZPRNES-21076N0B30</t>
  </si>
  <si>
    <t>21076N0B30</t>
  </si>
  <si>
    <t>MAZPRNES-21076N0B32</t>
  </si>
  <si>
    <t>21076N0B32</t>
  </si>
  <si>
    <t>MAZPRNES-21076N0B34</t>
  </si>
  <si>
    <t>21076N0B34</t>
  </si>
  <si>
    <t>MAZPRNES-21076N0B36</t>
  </si>
  <si>
    <t>21076N0B36</t>
  </si>
  <si>
    <t>MAZPRNES-21076N0B39</t>
  </si>
  <si>
    <t>21076N0B39</t>
  </si>
  <si>
    <t>MAZPRNES-21076N0B3A</t>
  </si>
  <si>
    <t>21076N0B3A</t>
  </si>
  <si>
    <t>MAZPRNES-21076N0B3C</t>
  </si>
  <si>
    <t>21076N0B3C</t>
  </si>
  <si>
    <t>MAZPRNES-21076N0B44</t>
  </si>
  <si>
    <t>21076N0B44</t>
  </si>
  <si>
    <t>MAZPRNES-21076N0B45</t>
  </si>
  <si>
    <t>21076N0B45</t>
  </si>
  <si>
    <t>MAZPRNES-21076N0B46</t>
  </si>
  <si>
    <t>21076N0B46</t>
  </si>
  <si>
    <t>MAZPRNES-21076N0B47</t>
  </si>
  <si>
    <t>21076N0B47</t>
  </si>
  <si>
    <t>MAZPRNES-21076N0B48</t>
  </si>
  <si>
    <t>21076N0B48</t>
  </si>
  <si>
    <t>MAZPRNES-21076N0B49</t>
  </si>
  <si>
    <t>21076N0B49</t>
  </si>
  <si>
    <t>MAZPRNES-21076N0B4A</t>
  </si>
  <si>
    <t>21076N0B4A</t>
  </si>
  <si>
    <t>MAZPRNES-21076N0B4B</t>
  </si>
  <si>
    <t>21076N0B4B</t>
  </si>
  <si>
    <t>MAZPRNES-21076N0B56</t>
  </si>
  <si>
    <t>21076N0B56</t>
  </si>
  <si>
    <t>MAZPRNES-21076N0B59</t>
  </si>
  <si>
    <t>21076N0B59</t>
  </si>
  <si>
    <t>MAZPRNES-21076N0B5A</t>
  </si>
  <si>
    <t>21076N0B5A</t>
  </si>
  <si>
    <t>MAZPRNES-21076N0B5B</t>
  </si>
  <si>
    <t>21076N0B5B</t>
  </si>
  <si>
    <t>MAZPRNES-21076N0B5C</t>
  </si>
  <si>
    <t>21076N0B5C</t>
  </si>
  <si>
    <t>MAZPRNES-21076N0B5F</t>
  </si>
  <si>
    <t>21076N0B5F</t>
  </si>
  <si>
    <t>MAZPRNES-21076N0B62</t>
  </si>
  <si>
    <t>21076N0B62</t>
  </si>
  <si>
    <t>MAZPRNES-21076N0B63</t>
  </si>
  <si>
    <t>21076N0B63</t>
  </si>
  <si>
    <t>MAZPRNES-21076N0B64</t>
  </si>
  <si>
    <t>21076N0B64</t>
  </si>
  <si>
    <t>MAZPRNES-21076N0B65</t>
  </si>
  <si>
    <t>21076N0B65</t>
  </si>
  <si>
    <t>MAZPRNES-21077N0177</t>
  </si>
  <si>
    <t>21077N0177</t>
  </si>
  <si>
    <t>MAZPRNES-21077N0178</t>
  </si>
  <si>
    <t>21077N0178</t>
  </si>
  <si>
    <t>MAZPRNES-21077N0179</t>
  </si>
  <si>
    <t>21077N0179</t>
  </si>
  <si>
    <t>MAZPRNES-21077N017A</t>
  </si>
  <si>
    <t>21077N017A</t>
  </si>
  <si>
    <t>MAZPRNES-21077N017B</t>
  </si>
  <si>
    <t>21077N017B</t>
  </si>
  <si>
    <t>MAZPRNES-21077N017C</t>
  </si>
  <si>
    <t>21077N017C</t>
  </si>
  <si>
    <t>MAZPRNES-21077N017D</t>
  </si>
  <si>
    <t>21077N017D</t>
  </si>
  <si>
    <t>MAZPRNES-21077N017E</t>
  </si>
  <si>
    <t>21077N017E</t>
  </si>
  <si>
    <t>MAZPRNES-21077N0180</t>
  </si>
  <si>
    <t>21077N0180</t>
  </si>
  <si>
    <t>MAZPRNES-21077N0198</t>
  </si>
  <si>
    <t>21077N0198</t>
  </si>
  <si>
    <t>MAZPRNES-21077N019D</t>
  </si>
  <si>
    <t>21077N019D</t>
  </si>
  <si>
    <t>MAZPRNES-21077N01A0</t>
  </si>
  <si>
    <t>21077N01A0</t>
  </si>
  <si>
    <t>MAZPRNES-21077N01A3</t>
  </si>
  <si>
    <t>21077N01A3</t>
  </si>
  <si>
    <t>MAZPRNES-21077N01A5</t>
  </si>
  <si>
    <t>21077N01A5</t>
  </si>
  <si>
    <t>MAZPRNES-21077N01A6</t>
  </si>
  <si>
    <t>21077N01A6</t>
  </si>
  <si>
    <t>MAZPRNES-21077N01A7</t>
  </si>
  <si>
    <t>21077N01A7</t>
  </si>
  <si>
    <t>MAZPRNES-21077N01A9</t>
  </si>
  <si>
    <t>21077N01A9</t>
  </si>
  <si>
    <t>MAZPRNES-21077N01BD</t>
  </si>
  <si>
    <t>21077N01BD</t>
  </si>
  <si>
    <t>MAZPRNES-21077N01BE</t>
  </si>
  <si>
    <t>21077N01BE</t>
  </si>
  <si>
    <t>MAZPRNES-21077N01BF</t>
  </si>
  <si>
    <t>21077N01BF</t>
  </si>
  <si>
    <t>MAZPRNES-21077N01C0</t>
  </si>
  <si>
    <t>21077N01C0</t>
  </si>
  <si>
    <t>MAZPRNES-21078N5067</t>
  </si>
  <si>
    <t>21078N5067</t>
  </si>
  <si>
    <t>MAZPRNES-21078N5076</t>
  </si>
  <si>
    <t>21078N5076</t>
  </si>
  <si>
    <t>MAZPRNES-21078N5097</t>
  </si>
  <si>
    <t>21078N5097</t>
  </si>
  <si>
    <t>MAZPRNES-21078N5125</t>
  </si>
  <si>
    <t>21078N5125</t>
  </si>
  <si>
    <t>MAZPRNES-21078N5330</t>
  </si>
  <si>
    <t>21078N5330</t>
  </si>
  <si>
    <t>MAZPRNES-21078N5368</t>
  </si>
  <si>
    <t>21078N5368</t>
  </si>
  <si>
    <t>MAZPRNES-21078N5375</t>
  </si>
  <si>
    <t>21078N5375</t>
  </si>
  <si>
    <t>MAZPRNES-21078N5384</t>
  </si>
  <si>
    <t>21078N5384</t>
  </si>
  <si>
    <t>MAZPRNES-21078N5388</t>
  </si>
  <si>
    <t>21078N5388</t>
  </si>
  <si>
    <t>MAZPRNES-21078N5406</t>
  </si>
  <si>
    <t>21078N5406</t>
  </si>
  <si>
    <t>MAZPRNES-21078N5409</t>
  </si>
  <si>
    <t>21078N5409</t>
  </si>
  <si>
    <t>MAZPRNES-21078N5414</t>
  </si>
  <si>
    <t>21078N5414</t>
  </si>
  <si>
    <t>MAZPRNES-21078N5423</t>
  </si>
  <si>
    <t>21078N5423</t>
  </si>
  <si>
    <t>MAZPRNES-21078N5437</t>
  </si>
  <si>
    <t>21078N5437</t>
  </si>
  <si>
    <t>MAZPRNES-21078N5440</t>
  </si>
  <si>
    <t>21078N5440</t>
  </si>
  <si>
    <t>MAZPRNES-21078N5458</t>
  </si>
  <si>
    <t>21078N5458</t>
  </si>
  <si>
    <t>MAZPRNES-21078N5461</t>
  </si>
  <si>
    <t>21078N5461</t>
  </si>
  <si>
    <t>MAZPRNES-21078N5538</t>
  </si>
  <si>
    <t>21078N5538</t>
  </si>
  <si>
    <t>MAZPRNES-21078N5542</t>
  </si>
  <si>
    <t>21078N5542</t>
  </si>
  <si>
    <t>MAZPRNES-21078N5543</t>
  </si>
  <si>
    <t>21078N5543</t>
  </si>
  <si>
    <t>MAZPRNES-21078N5545</t>
  </si>
  <si>
    <t>21078N5545</t>
  </si>
  <si>
    <t>MAZPRNES-21078N5547</t>
  </si>
  <si>
    <t>21078N5547</t>
  </si>
  <si>
    <t>MAZPRNES-21078N5563</t>
  </si>
  <si>
    <t>21078N5563</t>
  </si>
  <si>
    <t>MAZPRNES-21078N5575</t>
  </si>
  <si>
    <t>21078N5575</t>
  </si>
  <si>
    <t>MAZPRNES-21078N5592</t>
  </si>
  <si>
    <t>21078N5592</t>
  </si>
  <si>
    <t>MAZPRNES-21088N075F</t>
  </si>
  <si>
    <t>21088N075F</t>
  </si>
  <si>
    <t>MAZPRNES-21088N076C</t>
  </si>
  <si>
    <t>21088N076C</t>
  </si>
  <si>
    <t>MAZPRNES-21088N0771</t>
  </si>
  <si>
    <t>21088N0771</t>
  </si>
  <si>
    <t>MAZPRNES-21088N0772</t>
  </si>
  <si>
    <t>21088N0772</t>
  </si>
  <si>
    <t>MAZPRNES-21088N0775</t>
  </si>
  <si>
    <t>21088N0775</t>
  </si>
  <si>
    <t>MAZPRNES-21088N0778</t>
  </si>
  <si>
    <t>21088N0778</t>
  </si>
  <si>
    <t>MAZPRNES-21088N0788</t>
  </si>
  <si>
    <t>21088N0788</t>
  </si>
  <si>
    <t>MAZPRNES-21088N078C</t>
  </si>
  <si>
    <t>21088N078C</t>
  </si>
  <si>
    <t>MAZPRNES-21088N0796</t>
  </si>
  <si>
    <t>21088N0796</t>
  </si>
  <si>
    <t>MAZPRNES-21088N079F</t>
  </si>
  <si>
    <t>21088N079F</t>
  </si>
  <si>
    <t>MAZPRNES-21089N0B19</t>
  </si>
  <si>
    <t>21089N0B19</t>
  </si>
  <si>
    <t>MAZPRNES-21089N0B24</t>
  </si>
  <si>
    <t>21089N0B24</t>
  </si>
  <si>
    <t>MAZPRNES-21089N0B31</t>
  </si>
  <si>
    <t>21089N0B31</t>
  </si>
  <si>
    <t>MAZPRNES-21090N092A</t>
  </si>
  <si>
    <t>21090N092A</t>
  </si>
  <si>
    <t>MAZPRNES-21090N095F</t>
  </si>
  <si>
    <t>21090N095F</t>
  </si>
  <si>
    <t>MAZPRNES-21090N0960</t>
  </si>
  <si>
    <t>21090N0960</t>
  </si>
  <si>
    <t>MAZPRNES-21090N0962</t>
  </si>
  <si>
    <t>21090N0962</t>
  </si>
  <si>
    <t>MAZPRNES-21091N0A7C</t>
  </si>
  <si>
    <t>21091N0A7C</t>
  </si>
  <si>
    <t>MAZPRNES-21091N0A7D</t>
  </si>
  <si>
    <t>21091N0A7D</t>
  </si>
  <si>
    <t>MAZPRNES-21091N0A7E</t>
  </si>
  <si>
    <t>21091N0A7E</t>
  </si>
  <si>
    <t>MAZPRNES-21153N0D83</t>
  </si>
  <si>
    <t>21153N0D83</t>
  </si>
  <si>
    <t>Reportada como recuperada 03-04-2026(Carlos Rincan)/Pendiente reemplazo (15) SOYA</t>
  </si>
  <si>
    <t>MAZPRNES-21167N032E</t>
  </si>
  <si>
    <t>21167N032E</t>
  </si>
  <si>
    <t>MAZPRNES-21167N035E</t>
  </si>
  <si>
    <t>21167N035E</t>
  </si>
  <si>
    <t>MAZPRNES-21167N0360</t>
  </si>
  <si>
    <t>21167N0360</t>
  </si>
  <si>
    <t>MAZPRNES-21167N0368</t>
  </si>
  <si>
    <t>21167N0368</t>
  </si>
  <si>
    <t>MAZPRNES-21167N0372</t>
  </si>
  <si>
    <t>21167N0372</t>
  </si>
  <si>
    <t>MAZPRNES-21167N0393</t>
  </si>
  <si>
    <t>21167N0393</t>
  </si>
  <si>
    <t>MAZPRNES-21168N03E9</t>
  </si>
  <si>
    <t>21168N03E9</t>
  </si>
  <si>
    <t>MAZPRNES-21168N03EA</t>
  </si>
  <si>
    <t>21168N03EA</t>
  </si>
  <si>
    <t>MAZPRNES-21168N03EE</t>
  </si>
  <si>
    <t>21168N03EE</t>
  </si>
  <si>
    <t>MAZPRNES-21168N03F0</t>
  </si>
  <si>
    <t>21168N03F0</t>
  </si>
  <si>
    <t>MAZPRNES-21168N03F3</t>
  </si>
  <si>
    <t>21168N03F3</t>
  </si>
  <si>
    <t>MAZPRNES-21168N03F6</t>
  </si>
  <si>
    <t>21168N03F6</t>
  </si>
  <si>
    <t>MAZPRNES-21168N03F8</t>
  </si>
  <si>
    <t>21168N03F8</t>
  </si>
  <si>
    <t>MAZPRNES-21168N0416</t>
  </si>
  <si>
    <t>21168N0416</t>
  </si>
  <si>
    <t>MAZPRNES-21168N0419</t>
  </si>
  <si>
    <t>21168N0419</t>
  </si>
  <si>
    <t>MAZPRNES-21168N041A</t>
  </si>
  <si>
    <t>21168N041A</t>
  </si>
  <si>
    <t>MAZPRNES-21168N0438</t>
  </si>
  <si>
    <t>21168N0438</t>
  </si>
  <si>
    <t>MAZPRNES-21169N0821</t>
  </si>
  <si>
    <t>21169N0821</t>
  </si>
  <si>
    <t>MAZPRNES-21174N0A31</t>
  </si>
  <si>
    <t>21174N0A31</t>
  </si>
  <si>
    <t>MAZPRNES-21179N0123</t>
  </si>
  <si>
    <t>21179N0123</t>
  </si>
  <si>
    <t>MAZPRNES-21179N0149</t>
  </si>
  <si>
    <t>21179N0149</t>
  </si>
  <si>
    <t>MAZPRNES-21180N031C</t>
  </si>
  <si>
    <t>21180N031C</t>
  </si>
  <si>
    <t>MAZPRNES-21180N031F</t>
  </si>
  <si>
    <t>21180N031F</t>
  </si>
  <si>
    <t>MAZPRNES-21180N0334</t>
  </si>
  <si>
    <t>21180N0334</t>
  </si>
  <si>
    <t>MAZPRNES-22178N077D</t>
  </si>
  <si>
    <t>22178N077D</t>
  </si>
  <si>
    <t>MAZPRNES-22178N0094</t>
  </si>
  <si>
    <t>22178N0094</t>
  </si>
  <si>
    <t>MAZPRNES-22179N0CDD</t>
  </si>
  <si>
    <t>22179N0CDD</t>
  </si>
  <si>
    <t>MAZPRNES-22178N05C6</t>
  </si>
  <si>
    <t>22178N05C6</t>
  </si>
  <si>
    <t>MAZPRNES-22176N032C</t>
  </si>
  <si>
    <t>22176N032C</t>
  </si>
  <si>
    <t>MAZPRNES-22178N05C5</t>
  </si>
  <si>
    <t>22178N05C5</t>
  </si>
  <si>
    <t>MAZPRNES-22178N05C2</t>
  </si>
  <si>
    <t>22178N05C2</t>
  </si>
  <si>
    <t>MAZPRNES-22178N05AA</t>
  </si>
  <si>
    <t>22178N05AA</t>
  </si>
  <si>
    <t>MAZPRNES-22178N076A</t>
  </si>
  <si>
    <t>22178N076A</t>
  </si>
  <si>
    <t>MAZPRNES-25295N05F2</t>
  </si>
  <si>
    <t>25295N05F2</t>
  </si>
  <si>
    <t>RP4F</t>
  </si>
  <si>
    <t>MAZPRNES-25295N05FD</t>
  </si>
  <si>
    <t>25295N05FD</t>
  </si>
  <si>
    <t>MAZPRNES-21167N0346</t>
  </si>
  <si>
    <t>21167N0346</t>
  </si>
  <si>
    <t>Asignado permanentemente/ No retirado aun</t>
  </si>
  <si>
    <t>MAZPRNES-21179N0150</t>
  </si>
  <si>
    <t>21179N0150</t>
  </si>
  <si>
    <t>MAZPRNES-21173N0860</t>
  </si>
  <si>
    <t>21173N0860</t>
  </si>
  <si>
    <t>Jaime Cortez</t>
  </si>
  <si>
    <t>MAZPRNES-21173N0795</t>
  </si>
  <si>
    <t>21173N0795</t>
  </si>
  <si>
    <t>MAZPRNES-22313N03F8</t>
  </si>
  <si>
    <t>22313N03F8</t>
  </si>
  <si>
    <t>MAZPRNES-22315N0030</t>
  </si>
  <si>
    <t>22315N0030</t>
  </si>
  <si>
    <t>MAZPRNES-22313N03AA</t>
  </si>
  <si>
    <t>En reemplazo 21077N0192</t>
  </si>
  <si>
    <t>MAZPRNES-22315N0021</t>
  </si>
  <si>
    <t>En reemplazo 21069N0894</t>
  </si>
  <si>
    <t>MAZPRNES-25295N05F9</t>
  </si>
  <si>
    <t>25295N05F9</t>
  </si>
  <si>
    <t>Ingreso a configuración 10-04-2026</t>
  </si>
  <si>
    <t>Columna1</t>
  </si>
  <si>
    <t>SERIE</t>
  </si>
  <si>
    <t>Buscar</t>
  </si>
  <si>
    <t xml:space="preserve">Validacion </t>
  </si>
  <si>
    <t>ok</t>
  </si>
  <si>
    <t xml:space="preserve">S/N  21179N0149 </t>
  </si>
  <si>
    <t>S/N 25295N05F9</t>
  </si>
  <si>
    <t>21076N09C3</t>
  </si>
  <si>
    <t>21076N0B1E</t>
  </si>
  <si>
    <t>21076N0B20</t>
  </si>
  <si>
    <t xml:space="preserve">Duplicada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</si>
</sst>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1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9" fillId="0" borderId="0"/>
    <xf numFmtId="0" fontId="10" fillId="0" borderId="0"/>
    <xf numFmtId="9" fontId="10" fillId="0" borderId="0" applyFont="0" applyFill="0" applyBorder="0" applyAlignment="0" applyProtection="0"/>
    <xf numFmtId="0" fontId="11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14" fontId="4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5" borderId="1" xfId="0" applyFill="1" applyBorder="1"/>
    <xf numFmtId="164" fontId="2" fillId="4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9" borderId="4" xfId="0" applyFont="1" applyFill="1" applyBorder="1"/>
    <xf numFmtId="0" fontId="0" fillId="0" borderId="4" xfId="0" applyFont="1" applyBorder="1"/>
    <xf numFmtId="0" fontId="12" fillId="2" borderId="0" xfId="0" applyFont="1" applyFill="1"/>
    <xf numFmtId="0" fontId="13" fillId="10" borderId="0" xfId="0" applyFont="1" applyFill="1" applyAlignment="1">
      <alignment horizontal="center"/>
    </xf>
    <xf numFmtId="14" fontId="13" fillId="1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0" fontId="11" fillId="0" borderId="0" xfId="4" applyAlignment="1">
      <alignment horizontal="center"/>
    </xf>
    <xf numFmtId="0" fontId="14" fillId="0" borderId="0" xfId="0" applyFont="1" applyAlignment="1">
      <alignment horizontal="center"/>
    </xf>
    <xf numFmtId="0" fontId="0" fillId="8" borderId="0" xfId="0" applyFill="1"/>
    <xf numFmtId="0" fontId="0" fillId="8" borderId="4" xfId="0" applyFont="1" applyFill="1" applyBorder="1"/>
  </cellXfs>
  <cellStyles count="5">
    <cellStyle name="Normal" xfId="0" builtinId="0"/>
    <cellStyle name="Normal 2" xfId="1" xr:uid="{950A195C-063E-4B84-95AE-24A7881BB9D3}"/>
    <cellStyle name="Normal 3" xfId="2" xr:uid="{136D00C9-4C70-4D2A-BD84-D0947ACEF29F}"/>
    <cellStyle name="Normal 4" xfId="4" xr:uid="{05373AE6-B790-4AE3-AAD5-7E85A8B2C2F4}"/>
    <cellStyle name="Porcentaje 2" xfId="3" xr:uid="{3878BD3D-4ACD-42D4-8668-76B9257BB6E6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7F02A-1097-4EDF-A26E-DE2FC47D6DAA}" name="Tabla1" displayName="Tabla1" ref="A1:I146" totalsRowShown="0" headerRowDxfId="10" headerRowBorderDxfId="9" tableBorderDxfId="8">
  <autoFilter ref="A1:I146" xr:uid="{A557F02A-1097-4EDF-A26E-DE2FC47D6DAA}"/>
  <sortState xmlns:xlrd2="http://schemas.microsoft.com/office/spreadsheetml/2017/richdata2" ref="A2:I146">
    <sortCondition ref="E1:E146"/>
  </sortState>
  <tableColumns count="9">
    <tableColumn id="1" xr3:uid="{5F481B2E-39E5-4B73-A68F-B15B07A66E8D}" name="NUMERO RP4 "/>
    <tableColumn id="2" xr3:uid="{C356D577-4FE6-43D6-A28E-8F668BE0D3CF}" name="NUEVA RUTA"/>
    <tableColumn id="3" xr3:uid="{959CCB5A-6541-4558-A9AA-EFF581840BD3}" name="SUPERVISOR"/>
    <tableColumn id="4" xr3:uid="{EF808829-0FF1-4EFB-BB87-9F2539E26C03}" name="NUMERO DE SERIE "/>
    <tableColumn id="7" xr3:uid="{217B34B0-AD27-43CD-AE82-ECCFBE2CFC80}" name="SERIE" dataDxfId="7">
      <calculatedColumnFormula>RIGHT(Tabla1[[#This Row],[NUMERO DE SERIE ]],10)</calculatedColumnFormula>
    </tableColumn>
    <tableColumn id="8" xr3:uid="{8B688683-CEEE-4B33-9028-B3D44C78B5DC}" name="Validacion "/>
    <tableColumn id="9" xr3:uid="{FC6F977A-E908-49D5-A490-B534EB2B8783}" name="Columna1" dataDxfId="6">
      <calculatedColumnFormula>_xlfn.XLOOKUP(Tabla1[[#This Row],[SERIE]],'DATA IT'!D:D,'DATA IT'!G:G)</calculatedColumnFormula>
    </tableColumn>
    <tableColumn id="5" xr3:uid="{29A64052-A9E1-449C-BD16-1EFAF71B481E}" name="STICKER ACTUALIZADO"/>
    <tableColumn id="6" xr3:uid="{0A4520EF-3F01-41D1-8C2C-2F7A5C0BE8AD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C1BB-7D0C-441C-8B18-AB32C8070473}">
  <dimension ref="A1:J164"/>
  <sheetViews>
    <sheetView workbookViewId="0">
      <selection activeCell="E1" sqref="E1"/>
    </sheetView>
  </sheetViews>
  <sheetFormatPr baseColWidth="10" defaultRowHeight="14.5" x14ac:dyDescent="0.35"/>
  <cols>
    <col min="1" max="1" width="25.54296875" bestFit="1" customWidth="1"/>
    <col min="2" max="2" width="21.1796875" customWidth="1"/>
    <col min="3" max="3" width="26.7265625" bestFit="1" customWidth="1"/>
    <col min="4" max="4" width="44.26953125" bestFit="1" customWidth="1"/>
    <col min="5" max="5" width="35.453125" bestFit="1" customWidth="1"/>
    <col min="6" max="6" width="37" bestFit="1" customWidth="1"/>
    <col min="7" max="7" width="28.1796875" bestFit="1" customWidth="1"/>
  </cols>
  <sheetData>
    <row r="1" spans="1:7" ht="1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9" thickBot="1" x14ac:dyDescent="0.4">
      <c r="A2" s="3" t="s">
        <v>7</v>
      </c>
      <c r="B2" s="3" t="s">
        <v>8</v>
      </c>
      <c r="C2" s="4" t="s">
        <v>9</v>
      </c>
      <c r="D2" s="5" t="s">
        <v>10</v>
      </c>
      <c r="E2" s="6"/>
      <c r="F2" s="6"/>
      <c r="G2" s="6"/>
    </row>
    <row r="3" spans="1:7" ht="19" thickBot="1" x14ac:dyDescent="0.4">
      <c r="A3" s="5" t="s">
        <v>7</v>
      </c>
      <c r="B3" s="5" t="s">
        <v>11</v>
      </c>
      <c r="C3" s="7" t="s">
        <v>9</v>
      </c>
      <c r="D3" s="5" t="s">
        <v>12</v>
      </c>
      <c r="E3" s="8">
        <v>45988</v>
      </c>
      <c r="F3" s="8">
        <v>46027</v>
      </c>
      <c r="G3" s="8" t="s">
        <v>13</v>
      </c>
    </row>
    <row r="4" spans="1:7" ht="19" thickBot="1" x14ac:dyDescent="0.4">
      <c r="A4" s="3" t="s">
        <v>7</v>
      </c>
      <c r="B4" s="3" t="s">
        <v>14</v>
      </c>
      <c r="C4" s="4" t="s">
        <v>9</v>
      </c>
      <c r="D4" s="5" t="s">
        <v>15</v>
      </c>
      <c r="E4" s="6"/>
      <c r="F4" s="6"/>
      <c r="G4" s="6"/>
    </row>
    <row r="5" spans="1:7" ht="19" thickBot="1" x14ac:dyDescent="0.4">
      <c r="A5" s="3" t="s">
        <v>7</v>
      </c>
      <c r="B5" s="3" t="s">
        <v>16</v>
      </c>
      <c r="C5" s="4" t="s">
        <v>9</v>
      </c>
      <c r="D5" s="5" t="s">
        <v>17</v>
      </c>
      <c r="E5" s="6"/>
      <c r="F5" s="6"/>
      <c r="G5" s="6"/>
    </row>
    <row r="6" spans="1:7" ht="19" thickBot="1" x14ac:dyDescent="0.4">
      <c r="A6" s="5" t="s">
        <v>7</v>
      </c>
      <c r="B6" s="5" t="s">
        <v>18</v>
      </c>
      <c r="C6" s="7" t="s">
        <v>9</v>
      </c>
      <c r="D6" s="5" t="s">
        <v>19</v>
      </c>
      <c r="E6" s="8">
        <v>45919</v>
      </c>
      <c r="F6" s="8" t="s">
        <v>20</v>
      </c>
      <c r="G6" s="9"/>
    </row>
    <row r="7" spans="1:7" ht="19" thickBot="1" x14ac:dyDescent="0.4">
      <c r="A7" s="3" t="s">
        <v>7</v>
      </c>
      <c r="B7" s="3" t="s">
        <v>21</v>
      </c>
      <c r="C7" s="4" t="s">
        <v>9</v>
      </c>
      <c r="D7" s="5" t="s">
        <v>22</v>
      </c>
      <c r="E7" s="6"/>
      <c r="F7" s="6"/>
      <c r="G7" s="6"/>
    </row>
    <row r="8" spans="1:7" ht="19" thickBot="1" x14ac:dyDescent="0.4">
      <c r="A8" s="3" t="s">
        <v>7</v>
      </c>
      <c r="B8" s="3" t="s">
        <v>23</v>
      </c>
      <c r="C8" s="4" t="s">
        <v>9</v>
      </c>
      <c r="D8" s="5" t="s">
        <v>24</v>
      </c>
      <c r="E8" s="6"/>
      <c r="F8" s="10"/>
      <c r="G8" s="6"/>
    </row>
    <row r="9" spans="1:7" ht="19" thickBot="1" x14ac:dyDescent="0.4">
      <c r="A9" s="5" t="s">
        <v>7</v>
      </c>
      <c r="B9" s="5" t="s">
        <v>25</v>
      </c>
      <c r="C9" s="7" t="s">
        <v>9</v>
      </c>
      <c r="D9" s="5" t="s">
        <v>26</v>
      </c>
      <c r="E9" s="9"/>
      <c r="F9" s="8">
        <v>46206</v>
      </c>
      <c r="G9" s="9"/>
    </row>
    <row r="10" spans="1:7" ht="19" thickBot="1" x14ac:dyDescent="0.4">
      <c r="A10" s="11" t="s">
        <v>7</v>
      </c>
      <c r="B10" s="11" t="s">
        <v>27</v>
      </c>
      <c r="C10" s="12" t="s">
        <v>9</v>
      </c>
      <c r="D10" s="11" t="s">
        <v>28</v>
      </c>
      <c r="E10" s="13">
        <v>45988</v>
      </c>
      <c r="F10" s="14"/>
      <c r="G10" s="13" t="s">
        <v>13</v>
      </c>
    </row>
    <row r="11" spans="1:7" ht="19" thickBot="1" x14ac:dyDescent="0.4">
      <c r="A11" s="3" t="s">
        <v>7</v>
      </c>
      <c r="B11" s="3" t="s">
        <v>29</v>
      </c>
      <c r="C11" s="4" t="s">
        <v>9</v>
      </c>
      <c r="D11" s="5" t="s">
        <v>30</v>
      </c>
      <c r="E11" s="6"/>
      <c r="F11" s="10"/>
      <c r="G11" s="6"/>
    </row>
    <row r="12" spans="1:7" ht="19" thickBot="1" x14ac:dyDescent="0.4">
      <c r="A12" s="5" t="s">
        <v>7</v>
      </c>
      <c r="B12" s="5" t="s">
        <v>31</v>
      </c>
      <c r="C12" s="7" t="s">
        <v>9</v>
      </c>
      <c r="D12" s="5" t="s">
        <v>32</v>
      </c>
      <c r="E12" s="8">
        <v>45980</v>
      </c>
      <c r="F12" s="15">
        <v>45995</v>
      </c>
      <c r="G12" s="9"/>
    </row>
    <row r="13" spans="1:7" ht="19" thickBot="1" x14ac:dyDescent="0.4">
      <c r="A13" s="3" t="s">
        <v>7</v>
      </c>
      <c r="B13" s="3" t="s">
        <v>33</v>
      </c>
      <c r="C13" s="4" t="s">
        <v>9</v>
      </c>
      <c r="D13" s="5" t="s">
        <v>34</v>
      </c>
      <c r="E13" s="6"/>
      <c r="F13" s="6"/>
      <c r="G13" s="6"/>
    </row>
    <row r="14" spans="1:7" ht="19" thickBot="1" x14ac:dyDescent="0.4">
      <c r="A14" s="3" t="s">
        <v>7</v>
      </c>
      <c r="B14" s="3" t="s">
        <v>35</v>
      </c>
      <c r="C14" s="4" t="s">
        <v>9</v>
      </c>
      <c r="D14" s="5" t="s">
        <v>36</v>
      </c>
      <c r="E14" s="6"/>
      <c r="F14" s="10"/>
      <c r="G14" s="6"/>
    </row>
    <row r="15" spans="1:7" ht="19" thickBot="1" x14ac:dyDescent="0.4">
      <c r="A15" s="3" t="s">
        <v>7</v>
      </c>
      <c r="B15" s="3" t="s">
        <v>37</v>
      </c>
      <c r="C15" s="4" t="s">
        <v>9</v>
      </c>
      <c r="D15" s="5" t="s">
        <v>38</v>
      </c>
      <c r="E15" s="6"/>
      <c r="F15" s="10"/>
      <c r="G15" s="6"/>
    </row>
    <row r="16" spans="1:7" ht="19" thickBot="1" x14ac:dyDescent="0.4">
      <c r="A16" s="3" t="s">
        <v>7</v>
      </c>
      <c r="B16" s="3" t="s">
        <v>39</v>
      </c>
      <c r="C16" s="4" t="s">
        <v>9</v>
      </c>
      <c r="D16" s="5" t="s">
        <v>40</v>
      </c>
      <c r="E16" s="6"/>
      <c r="F16" s="10"/>
      <c r="G16" s="6"/>
    </row>
    <row r="17" spans="1:10" ht="19" thickBot="1" x14ac:dyDescent="0.4">
      <c r="A17" s="3" t="s">
        <v>7</v>
      </c>
      <c r="B17" s="3" t="s">
        <v>41</v>
      </c>
      <c r="C17" s="4" t="s">
        <v>9</v>
      </c>
      <c r="D17" s="5" t="s">
        <v>42</v>
      </c>
      <c r="E17" s="6"/>
      <c r="F17" s="10"/>
      <c r="G17" s="6"/>
    </row>
    <row r="18" spans="1:10" ht="19" thickBot="1" x14ac:dyDescent="0.4">
      <c r="A18" s="3" t="s">
        <v>7</v>
      </c>
      <c r="B18" s="3" t="s">
        <v>43</v>
      </c>
      <c r="C18" s="4" t="s">
        <v>9</v>
      </c>
      <c r="D18" s="5" t="s">
        <v>44</v>
      </c>
      <c r="E18" s="6"/>
      <c r="F18" s="10"/>
      <c r="G18" s="6"/>
    </row>
    <row r="19" spans="1:10" ht="19" thickBot="1" x14ac:dyDescent="0.4">
      <c r="A19" s="5" t="s">
        <v>7</v>
      </c>
      <c r="B19" s="5" t="s">
        <v>45</v>
      </c>
      <c r="C19" s="7" t="s">
        <v>9</v>
      </c>
      <c r="D19" s="5" t="s">
        <v>46</v>
      </c>
      <c r="E19" s="8">
        <v>45924</v>
      </c>
      <c r="F19" s="8">
        <v>46027</v>
      </c>
      <c r="G19" s="9"/>
    </row>
    <row r="20" spans="1:10" ht="19" thickBot="1" x14ac:dyDescent="0.4">
      <c r="A20" s="3" t="s">
        <v>7</v>
      </c>
      <c r="B20" s="3" t="s">
        <v>47</v>
      </c>
      <c r="C20" s="3" t="s">
        <v>48</v>
      </c>
      <c r="D20" s="5" t="s">
        <v>49</v>
      </c>
      <c r="E20" s="6"/>
      <c r="F20" s="6"/>
      <c r="G20" s="6"/>
    </row>
    <row r="21" spans="1:10" ht="19" thickBot="1" x14ac:dyDescent="0.4">
      <c r="A21" s="16" t="s">
        <v>7</v>
      </c>
      <c r="B21" s="16" t="s">
        <v>50</v>
      </c>
      <c r="C21" s="16" t="s">
        <v>48</v>
      </c>
      <c r="D21" s="16" t="s">
        <v>51</v>
      </c>
      <c r="E21" s="17">
        <v>45709</v>
      </c>
      <c r="F21" s="18"/>
      <c r="G21" s="18"/>
    </row>
    <row r="22" spans="1:10" ht="19" thickBot="1" x14ac:dyDescent="0.4">
      <c r="A22" s="5" t="s">
        <v>7</v>
      </c>
      <c r="B22" s="5" t="s">
        <v>52</v>
      </c>
      <c r="C22" s="5" t="s">
        <v>48</v>
      </c>
      <c r="D22" s="5" t="s">
        <v>53</v>
      </c>
      <c r="E22" s="8">
        <v>45953</v>
      </c>
      <c r="F22" s="8" t="s">
        <v>54</v>
      </c>
      <c r="G22" s="9"/>
    </row>
    <row r="23" spans="1:10" ht="19" thickBot="1" x14ac:dyDescent="0.4">
      <c r="A23" s="3" t="s">
        <v>7</v>
      </c>
      <c r="B23" s="3" t="s">
        <v>55</v>
      </c>
      <c r="C23" s="3" t="s">
        <v>48</v>
      </c>
      <c r="D23" s="5" t="s">
        <v>56</v>
      </c>
      <c r="E23" s="6"/>
      <c r="F23" s="6"/>
      <c r="G23" s="6"/>
    </row>
    <row r="24" spans="1:10" ht="19" thickBot="1" x14ac:dyDescent="0.4">
      <c r="A24" s="3" t="s">
        <v>7</v>
      </c>
      <c r="B24" s="3" t="s">
        <v>57</v>
      </c>
      <c r="C24" s="3" t="s">
        <v>48</v>
      </c>
      <c r="D24" s="5" t="s">
        <v>58</v>
      </c>
      <c r="E24" s="6"/>
      <c r="F24" s="10"/>
      <c r="G24" s="6"/>
    </row>
    <row r="25" spans="1:10" ht="19" thickBot="1" x14ac:dyDescent="0.4">
      <c r="A25" s="5" t="s">
        <v>7</v>
      </c>
      <c r="B25" s="5" t="s">
        <v>59</v>
      </c>
      <c r="C25" s="5" t="s">
        <v>48</v>
      </c>
      <c r="D25" s="5" t="s">
        <v>60</v>
      </c>
      <c r="E25" s="8">
        <v>45901</v>
      </c>
      <c r="F25" s="8">
        <v>45715</v>
      </c>
      <c r="G25" s="5" t="s">
        <v>61</v>
      </c>
    </row>
    <row r="26" spans="1:10" ht="19" thickBot="1" x14ac:dyDescent="0.4">
      <c r="A26" s="5" t="s">
        <v>7</v>
      </c>
      <c r="B26" s="5" t="s">
        <v>62</v>
      </c>
      <c r="C26" s="5" t="s">
        <v>48</v>
      </c>
      <c r="D26" s="5" t="s">
        <v>63</v>
      </c>
      <c r="E26" s="9"/>
      <c r="F26" s="19">
        <v>46086</v>
      </c>
      <c r="G26" s="9"/>
    </row>
    <row r="27" spans="1:10" ht="19" thickBot="1" x14ac:dyDescent="0.4">
      <c r="A27" s="5" t="s">
        <v>64</v>
      </c>
      <c r="B27" s="5" t="s">
        <v>65</v>
      </c>
      <c r="C27" s="5" t="s">
        <v>48</v>
      </c>
      <c r="D27" s="5" t="s">
        <v>66</v>
      </c>
      <c r="E27" s="8" t="s">
        <v>67</v>
      </c>
      <c r="F27" s="15" t="s">
        <v>68</v>
      </c>
      <c r="G27" s="9"/>
    </row>
    <row r="28" spans="1:10" ht="19" thickBot="1" x14ac:dyDescent="0.4">
      <c r="A28" s="11" t="s">
        <v>7</v>
      </c>
      <c r="B28" s="11" t="s">
        <v>69</v>
      </c>
      <c r="C28" s="11" t="s">
        <v>48</v>
      </c>
      <c r="D28" s="11" t="s">
        <v>70</v>
      </c>
      <c r="E28" s="13">
        <v>45988</v>
      </c>
      <c r="F28" s="14"/>
      <c r="G28" s="13" t="s">
        <v>13</v>
      </c>
      <c r="I28" s="20">
        <v>45880</v>
      </c>
      <c r="J28" s="20">
        <v>45889</v>
      </c>
    </row>
    <row r="29" spans="1:10" ht="19" thickBot="1" x14ac:dyDescent="0.4">
      <c r="A29" s="3" t="s">
        <v>7</v>
      </c>
      <c r="B29" s="3" t="s">
        <v>71</v>
      </c>
      <c r="C29" s="3" t="s">
        <v>48</v>
      </c>
      <c r="D29" s="5" t="s">
        <v>72</v>
      </c>
      <c r="E29" s="6"/>
      <c r="F29" s="10"/>
      <c r="G29" s="6"/>
    </row>
    <row r="30" spans="1:10" ht="19" thickBot="1" x14ac:dyDescent="0.4">
      <c r="A30" s="5" t="s">
        <v>7</v>
      </c>
      <c r="B30" s="5" t="s">
        <v>73</v>
      </c>
      <c r="C30" s="5" t="s">
        <v>48</v>
      </c>
      <c r="D30" s="5" t="s">
        <v>74</v>
      </c>
      <c r="E30" s="9"/>
      <c r="F30" s="19">
        <v>46086</v>
      </c>
      <c r="G30" s="9"/>
    </row>
    <row r="31" spans="1:10" ht="19" thickBot="1" x14ac:dyDescent="0.4">
      <c r="A31" s="5" t="s">
        <v>7</v>
      </c>
      <c r="B31" s="5" t="s">
        <v>75</v>
      </c>
      <c r="C31" s="5" t="s">
        <v>48</v>
      </c>
      <c r="D31" s="5" t="s">
        <v>76</v>
      </c>
      <c r="E31" s="8">
        <v>45980</v>
      </c>
      <c r="F31" s="15">
        <v>45995</v>
      </c>
      <c r="G31" s="9"/>
    </row>
    <row r="32" spans="1:10" ht="19" thickBot="1" x14ac:dyDescent="0.4">
      <c r="A32" s="3" t="s">
        <v>7</v>
      </c>
      <c r="B32" s="3" t="s">
        <v>77</v>
      </c>
      <c r="C32" s="3" t="s">
        <v>48</v>
      </c>
      <c r="D32" s="5" t="s">
        <v>78</v>
      </c>
      <c r="E32" s="6"/>
      <c r="F32" s="10"/>
      <c r="G32" s="6"/>
    </row>
    <row r="33" spans="1:7" ht="19" thickBot="1" x14ac:dyDescent="0.4">
      <c r="A33" s="5" t="s">
        <v>7</v>
      </c>
      <c r="B33" s="5" t="s">
        <v>79</v>
      </c>
      <c r="C33" s="5" t="s">
        <v>48</v>
      </c>
      <c r="D33" s="5" t="s">
        <v>80</v>
      </c>
      <c r="E33" s="8">
        <v>45901</v>
      </c>
      <c r="F33" s="15">
        <v>45912</v>
      </c>
      <c r="G33" s="9"/>
    </row>
    <row r="34" spans="1:7" ht="19" thickBot="1" x14ac:dyDescent="0.4">
      <c r="A34" s="21" t="s">
        <v>7</v>
      </c>
      <c r="B34" s="21" t="s">
        <v>81</v>
      </c>
      <c r="C34" s="21" t="s">
        <v>48</v>
      </c>
      <c r="D34" s="21" t="s">
        <v>80</v>
      </c>
      <c r="E34" s="22"/>
      <c r="F34" s="10"/>
      <c r="G34" s="22"/>
    </row>
    <row r="35" spans="1:7" ht="19" thickBot="1" x14ac:dyDescent="0.4">
      <c r="A35" s="5" t="s">
        <v>7</v>
      </c>
      <c r="B35" s="5" t="s">
        <v>82</v>
      </c>
      <c r="C35" s="5" t="s">
        <v>48</v>
      </c>
      <c r="D35" s="5" t="s">
        <v>83</v>
      </c>
      <c r="E35" s="8" t="s">
        <v>84</v>
      </c>
      <c r="F35" s="15" t="s">
        <v>85</v>
      </c>
      <c r="G35" s="8" t="s">
        <v>13</v>
      </c>
    </row>
    <row r="36" spans="1:7" ht="19" thickBot="1" x14ac:dyDescent="0.4">
      <c r="A36" s="5" t="s">
        <v>7</v>
      </c>
      <c r="B36" s="5" t="s">
        <v>86</v>
      </c>
      <c r="C36" s="5" t="s">
        <v>48</v>
      </c>
      <c r="D36" s="5" t="s">
        <v>87</v>
      </c>
      <c r="E36" s="8">
        <v>45901</v>
      </c>
      <c r="F36" s="8" t="s">
        <v>88</v>
      </c>
      <c r="G36" s="9"/>
    </row>
    <row r="37" spans="1:7" ht="19" thickBot="1" x14ac:dyDescent="0.4">
      <c r="A37" s="3" t="s">
        <v>7</v>
      </c>
      <c r="B37" s="3" t="s">
        <v>89</v>
      </c>
      <c r="C37" s="3" t="s">
        <v>48</v>
      </c>
      <c r="D37" s="5" t="s">
        <v>90</v>
      </c>
      <c r="E37" s="6"/>
      <c r="F37" s="6"/>
      <c r="G37" s="6"/>
    </row>
    <row r="38" spans="1:7" ht="19" thickBot="1" x14ac:dyDescent="0.4">
      <c r="A38" s="3" t="s">
        <v>7</v>
      </c>
      <c r="B38" s="3" t="s">
        <v>91</v>
      </c>
      <c r="C38" s="3" t="s">
        <v>48</v>
      </c>
      <c r="D38" s="5" t="s">
        <v>92</v>
      </c>
      <c r="E38" s="6"/>
      <c r="F38" s="6"/>
      <c r="G38" s="6"/>
    </row>
    <row r="39" spans="1:7" ht="19" thickBot="1" x14ac:dyDescent="0.4">
      <c r="A39" s="23" t="s">
        <v>7</v>
      </c>
      <c r="B39" s="23" t="s">
        <v>93</v>
      </c>
      <c r="C39" s="23" t="s">
        <v>94</v>
      </c>
      <c r="D39" s="23" t="s">
        <v>95</v>
      </c>
      <c r="E39" s="23" t="s">
        <v>96</v>
      </c>
      <c r="F39" s="15">
        <v>45981</v>
      </c>
      <c r="G39" s="15" t="s">
        <v>97</v>
      </c>
    </row>
    <row r="40" spans="1:7" ht="19" thickBot="1" x14ac:dyDescent="0.4">
      <c r="A40" s="3" t="s">
        <v>7</v>
      </c>
      <c r="B40" s="3" t="s">
        <v>98</v>
      </c>
      <c r="C40" s="3" t="s">
        <v>94</v>
      </c>
      <c r="D40" s="5" t="s">
        <v>99</v>
      </c>
      <c r="E40" s="6"/>
      <c r="F40" s="6"/>
      <c r="G40" s="6"/>
    </row>
    <row r="41" spans="1:7" ht="19" thickBot="1" x14ac:dyDescent="0.4">
      <c r="A41" s="5" t="s">
        <v>100</v>
      </c>
      <c r="B41" s="5" t="s">
        <v>101</v>
      </c>
      <c r="C41" s="5" t="s">
        <v>94</v>
      </c>
      <c r="D41" s="5" t="s">
        <v>102</v>
      </c>
      <c r="E41" s="8">
        <v>45919</v>
      </c>
      <c r="F41" s="15">
        <v>45947</v>
      </c>
      <c r="G41" s="9"/>
    </row>
    <row r="42" spans="1:7" ht="19" thickBot="1" x14ac:dyDescent="0.4">
      <c r="A42" s="3" t="s">
        <v>7</v>
      </c>
      <c r="B42" s="3" t="s">
        <v>103</v>
      </c>
      <c r="C42" s="3" t="s">
        <v>94</v>
      </c>
      <c r="D42" s="5" t="s">
        <v>104</v>
      </c>
      <c r="E42" s="6"/>
      <c r="F42" s="10"/>
      <c r="G42" s="6"/>
    </row>
    <row r="43" spans="1:7" ht="19" thickBot="1" x14ac:dyDescent="0.4">
      <c r="A43" s="5" t="s">
        <v>7</v>
      </c>
      <c r="B43" s="5" t="s">
        <v>105</v>
      </c>
      <c r="C43" s="5" t="s">
        <v>94</v>
      </c>
      <c r="D43" s="5" t="s">
        <v>106</v>
      </c>
      <c r="E43" s="9"/>
      <c r="F43" s="19">
        <v>46086</v>
      </c>
      <c r="G43" s="9"/>
    </row>
    <row r="44" spans="1:7" ht="19" thickBot="1" x14ac:dyDescent="0.4">
      <c r="A44" s="3" t="s">
        <v>7</v>
      </c>
      <c r="B44" s="3" t="s">
        <v>107</v>
      </c>
      <c r="C44" s="3" t="s">
        <v>94</v>
      </c>
      <c r="D44" s="5" t="s">
        <v>108</v>
      </c>
      <c r="E44" s="6"/>
      <c r="F44" s="10"/>
      <c r="G44" s="6"/>
    </row>
    <row r="45" spans="1:7" ht="19" thickBot="1" x14ac:dyDescent="0.4">
      <c r="A45" s="3" t="s">
        <v>7</v>
      </c>
      <c r="B45" s="3" t="s">
        <v>109</v>
      </c>
      <c r="C45" s="3" t="s">
        <v>94</v>
      </c>
      <c r="D45" s="5" t="s">
        <v>110</v>
      </c>
      <c r="E45" s="6"/>
      <c r="F45" s="6"/>
      <c r="G45" s="6"/>
    </row>
    <row r="46" spans="1:7" ht="19" thickBot="1" x14ac:dyDescent="0.4">
      <c r="A46" s="3" t="s">
        <v>111</v>
      </c>
      <c r="B46" s="3" t="s">
        <v>112</v>
      </c>
      <c r="C46" s="3" t="s">
        <v>94</v>
      </c>
      <c r="D46" s="5" t="s">
        <v>113</v>
      </c>
      <c r="E46" s="6"/>
      <c r="F46" s="6"/>
      <c r="G46" s="6"/>
    </row>
    <row r="47" spans="1:7" ht="19" thickBot="1" x14ac:dyDescent="0.4">
      <c r="A47" s="3" t="s">
        <v>7</v>
      </c>
      <c r="B47" s="3" t="s">
        <v>114</v>
      </c>
      <c r="C47" s="3" t="s">
        <v>94</v>
      </c>
      <c r="D47" s="5" t="s">
        <v>115</v>
      </c>
      <c r="E47" s="6"/>
      <c r="F47" s="6"/>
      <c r="G47" s="6"/>
    </row>
    <row r="48" spans="1:7" ht="19" thickBot="1" x14ac:dyDescent="0.4">
      <c r="A48" s="3" t="s">
        <v>7</v>
      </c>
      <c r="B48" s="3" t="s">
        <v>116</v>
      </c>
      <c r="C48" s="3" t="s">
        <v>94</v>
      </c>
      <c r="D48" s="5" t="s">
        <v>117</v>
      </c>
      <c r="E48" s="6"/>
      <c r="F48" s="6"/>
      <c r="G48" s="6"/>
    </row>
    <row r="49" spans="1:10" ht="19" thickBot="1" x14ac:dyDescent="0.4">
      <c r="A49" s="5" t="s">
        <v>7</v>
      </c>
      <c r="B49" s="5" t="s">
        <v>118</v>
      </c>
      <c r="C49" s="5" t="s">
        <v>94</v>
      </c>
      <c r="D49" s="5" t="s">
        <v>119</v>
      </c>
      <c r="E49" s="8">
        <v>45901</v>
      </c>
      <c r="F49" s="8">
        <v>45919</v>
      </c>
      <c r="G49" s="9"/>
    </row>
    <row r="50" spans="1:10" ht="19" thickBot="1" x14ac:dyDescent="0.4">
      <c r="A50" s="3" t="s">
        <v>7</v>
      </c>
      <c r="B50" s="3" t="s">
        <v>120</v>
      </c>
      <c r="C50" s="3" t="s">
        <v>94</v>
      </c>
      <c r="D50" s="5" t="s">
        <v>121</v>
      </c>
      <c r="E50" s="6"/>
      <c r="F50" s="6"/>
      <c r="G50" s="6"/>
    </row>
    <row r="51" spans="1:10" ht="19" thickBot="1" x14ac:dyDescent="0.4">
      <c r="A51" s="5" t="s">
        <v>7</v>
      </c>
      <c r="B51" s="5" t="s">
        <v>122</v>
      </c>
      <c r="C51" s="5" t="s">
        <v>94</v>
      </c>
      <c r="D51" s="5" t="s">
        <v>123</v>
      </c>
      <c r="E51" s="8">
        <v>45901</v>
      </c>
      <c r="F51" s="8">
        <v>45912</v>
      </c>
      <c r="G51" s="9"/>
    </row>
    <row r="52" spans="1:10" ht="19" thickBot="1" x14ac:dyDescent="0.4">
      <c r="A52" s="5" t="s">
        <v>7</v>
      </c>
      <c r="B52" s="5" t="s">
        <v>124</v>
      </c>
      <c r="C52" s="5" t="s">
        <v>94</v>
      </c>
      <c r="D52" s="5" t="s">
        <v>125</v>
      </c>
      <c r="E52" s="8">
        <v>45980</v>
      </c>
      <c r="F52" s="8">
        <v>46100</v>
      </c>
      <c r="G52" s="8">
        <v>45995</v>
      </c>
    </row>
    <row r="53" spans="1:10" ht="19" thickBot="1" x14ac:dyDescent="0.4">
      <c r="A53" s="24" t="s">
        <v>100</v>
      </c>
      <c r="B53" s="24" t="s">
        <v>126</v>
      </c>
      <c r="C53" s="24" t="s">
        <v>94</v>
      </c>
      <c r="D53" s="24" t="s">
        <v>127</v>
      </c>
      <c r="E53" s="25">
        <v>45988</v>
      </c>
      <c r="F53" s="26"/>
      <c r="G53" s="26"/>
    </row>
    <row r="54" spans="1:10" ht="19" thickBot="1" x14ac:dyDescent="0.4">
      <c r="A54" s="5" t="s">
        <v>100</v>
      </c>
      <c r="B54" s="5" t="s">
        <v>128</v>
      </c>
      <c r="C54" s="5" t="s">
        <v>94</v>
      </c>
      <c r="D54" s="5" t="s">
        <v>129</v>
      </c>
      <c r="E54" s="9"/>
      <c r="F54" s="8">
        <v>46086</v>
      </c>
      <c r="G54" s="9"/>
    </row>
    <row r="55" spans="1:10" ht="19" thickBot="1" x14ac:dyDescent="0.4">
      <c r="A55" s="11" t="s">
        <v>130</v>
      </c>
      <c r="B55" s="11" t="s">
        <v>131</v>
      </c>
      <c r="C55" s="11" t="s">
        <v>94</v>
      </c>
      <c r="D55" s="11" t="s">
        <v>132</v>
      </c>
      <c r="E55" s="13">
        <v>45988</v>
      </c>
      <c r="F55" s="13"/>
      <c r="G55" s="13" t="s">
        <v>13</v>
      </c>
      <c r="I55" s="20">
        <v>45932</v>
      </c>
      <c r="J55" s="20">
        <v>45947</v>
      </c>
    </row>
    <row r="56" spans="1:10" ht="19" thickBot="1" x14ac:dyDescent="0.4">
      <c r="A56" s="5" t="s">
        <v>100</v>
      </c>
      <c r="B56" s="5" t="s">
        <v>133</v>
      </c>
      <c r="C56" s="5" t="s">
        <v>94</v>
      </c>
      <c r="D56" s="5" t="s">
        <v>134</v>
      </c>
      <c r="E56" s="8">
        <v>45919</v>
      </c>
      <c r="F56" s="8">
        <v>45932</v>
      </c>
      <c r="G56" s="9"/>
    </row>
    <row r="57" spans="1:10" ht="19" thickBot="1" x14ac:dyDescent="0.4">
      <c r="A57" s="5" t="s">
        <v>7</v>
      </c>
      <c r="B57" s="5" t="s">
        <v>135</v>
      </c>
      <c r="C57" s="5" t="s">
        <v>94</v>
      </c>
      <c r="D57" s="5" t="s">
        <v>136</v>
      </c>
      <c r="E57" s="9"/>
      <c r="F57" s="8">
        <v>46100</v>
      </c>
      <c r="G57" s="9"/>
    </row>
    <row r="58" spans="1:10" ht="19" thickBot="1" x14ac:dyDescent="0.4">
      <c r="A58" s="3" t="s">
        <v>137</v>
      </c>
      <c r="B58" s="3" t="s">
        <v>138</v>
      </c>
      <c r="C58" s="3" t="s">
        <v>94</v>
      </c>
      <c r="D58" s="5" t="s">
        <v>139</v>
      </c>
      <c r="E58" s="6"/>
      <c r="F58" s="6"/>
      <c r="G58" s="6"/>
    </row>
    <row r="59" spans="1:10" ht="19" thickBot="1" x14ac:dyDescent="0.4">
      <c r="A59" s="11" t="s">
        <v>140</v>
      </c>
      <c r="B59" s="11" t="s">
        <v>141</v>
      </c>
      <c r="C59" s="11" t="s">
        <v>94</v>
      </c>
      <c r="D59" s="11" t="s">
        <v>142</v>
      </c>
      <c r="E59" s="13">
        <v>45988</v>
      </c>
      <c r="F59" s="27"/>
      <c r="G59" s="13" t="s">
        <v>13</v>
      </c>
    </row>
    <row r="60" spans="1:10" ht="19" thickBot="1" x14ac:dyDescent="0.4">
      <c r="A60" s="5" t="s">
        <v>143</v>
      </c>
      <c r="B60" s="5" t="s">
        <v>144</v>
      </c>
      <c r="C60" s="5" t="s">
        <v>94</v>
      </c>
      <c r="D60" s="5" t="s">
        <v>145</v>
      </c>
      <c r="E60" s="9"/>
      <c r="F60" s="28">
        <v>46182</v>
      </c>
      <c r="G60" s="9"/>
    </row>
    <row r="61" spans="1:10" ht="19" thickBot="1" x14ac:dyDescent="0.4">
      <c r="A61" s="3" t="s">
        <v>7</v>
      </c>
      <c r="B61" s="3" t="s">
        <v>146</v>
      </c>
      <c r="C61" s="3" t="s">
        <v>94</v>
      </c>
      <c r="D61" s="5" t="s">
        <v>147</v>
      </c>
      <c r="E61" s="6"/>
      <c r="F61" s="6"/>
      <c r="G61" s="6"/>
    </row>
    <row r="62" spans="1:10" ht="19" thickBot="1" x14ac:dyDescent="0.4">
      <c r="A62" s="5" t="s">
        <v>148</v>
      </c>
      <c r="B62" s="5" t="s">
        <v>149</v>
      </c>
      <c r="C62" s="5" t="s">
        <v>94</v>
      </c>
      <c r="D62" s="5" t="s">
        <v>150</v>
      </c>
      <c r="E62" s="8">
        <v>45988</v>
      </c>
      <c r="F62" s="8">
        <v>46027</v>
      </c>
      <c r="G62" s="8" t="s">
        <v>13</v>
      </c>
    </row>
    <row r="63" spans="1:10" ht="19" thickBot="1" x14ac:dyDescent="0.4">
      <c r="A63" s="3" t="s">
        <v>7</v>
      </c>
      <c r="B63" s="3" t="s">
        <v>151</v>
      </c>
      <c r="C63" s="3" t="s">
        <v>94</v>
      </c>
      <c r="D63" s="5" t="s">
        <v>152</v>
      </c>
      <c r="E63" s="6"/>
      <c r="F63" s="6"/>
      <c r="G63" s="6"/>
    </row>
    <row r="64" spans="1:10" ht="19" thickBot="1" x14ac:dyDescent="0.4">
      <c r="A64" s="5" t="s">
        <v>7</v>
      </c>
      <c r="B64" s="5" t="s">
        <v>153</v>
      </c>
      <c r="C64" s="5" t="s">
        <v>94</v>
      </c>
      <c r="D64" s="5" t="s">
        <v>154</v>
      </c>
      <c r="E64" s="8">
        <v>45919</v>
      </c>
      <c r="F64" s="8">
        <v>45932</v>
      </c>
      <c r="G64" s="9"/>
    </row>
    <row r="65" spans="1:10" ht="19" thickBot="1" x14ac:dyDescent="0.4">
      <c r="A65" s="11" t="s">
        <v>7</v>
      </c>
      <c r="B65" s="11" t="s">
        <v>155</v>
      </c>
      <c r="C65" s="11" t="s">
        <v>94</v>
      </c>
      <c r="D65" s="11" t="s">
        <v>156</v>
      </c>
      <c r="E65" s="13">
        <v>45988</v>
      </c>
      <c r="F65" s="13"/>
      <c r="G65" s="13" t="s">
        <v>13</v>
      </c>
      <c r="I65" s="20">
        <v>45980</v>
      </c>
      <c r="J65" s="20">
        <v>45988</v>
      </c>
    </row>
    <row r="66" spans="1:10" ht="19" thickBot="1" x14ac:dyDescent="0.4">
      <c r="A66" s="3" t="s">
        <v>7</v>
      </c>
      <c r="B66" s="3" t="s">
        <v>157</v>
      </c>
      <c r="C66" s="3" t="s">
        <v>94</v>
      </c>
      <c r="D66" s="5" t="s">
        <v>158</v>
      </c>
      <c r="E66" s="6"/>
      <c r="F66" s="6"/>
      <c r="G66" s="6"/>
    </row>
    <row r="67" spans="1:10" ht="19" thickBot="1" x14ac:dyDescent="0.4">
      <c r="A67" s="5" t="s">
        <v>159</v>
      </c>
      <c r="B67" s="5" t="s">
        <v>160</v>
      </c>
      <c r="C67" s="5" t="s">
        <v>94</v>
      </c>
      <c r="D67" s="5" t="s">
        <v>161</v>
      </c>
      <c r="E67" s="8">
        <v>45919</v>
      </c>
      <c r="F67" s="8">
        <v>45932</v>
      </c>
      <c r="G67" s="9"/>
    </row>
    <row r="68" spans="1:10" ht="19" thickBot="1" x14ac:dyDescent="0.4">
      <c r="A68" s="5" t="s">
        <v>7</v>
      </c>
      <c r="B68" s="5" t="s">
        <v>162</v>
      </c>
      <c r="C68" s="5" t="s">
        <v>94</v>
      </c>
      <c r="D68" s="5" t="s">
        <v>163</v>
      </c>
      <c r="E68" s="8">
        <v>45919</v>
      </c>
      <c r="F68" s="8">
        <v>45932</v>
      </c>
      <c r="G68" s="9"/>
    </row>
    <row r="69" spans="1:10" ht="19" thickBot="1" x14ac:dyDescent="0.4">
      <c r="A69" s="11" t="s">
        <v>7</v>
      </c>
      <c r="B69" s="11" t="s">
        <v>164</v>
      </c>
      <c r="C69" s="11" t="s">
        <v>94</v>
      </c>
      <c r="D69" s="11" t="s">
        <v>165</v>
      </c>
      <c r="E69" s="13">
        <v>45988</v>
      </c>
      <c r="F69" s="27"/>
      <c r="G69" s="13" t="s">
        <v>13</v>
      </c>
    </row>
    <row r="70" spans="1:10" ht="19" thickBot="1" x14ac:dyDescent="0.4">
      <c r="A70" s="3" t="s">
        <v>7</v>
      </c>
      <c r="B70" s="3" t="s">
        <v>166</v>
      </c>
      <c r="C70" s="3" t="s">
        <v>94</v>
      </c>
      <c r="D70" s="5" t="s">
        <v>167</v>
      </c>
      <c r="E70" s="6"/>
      <c r="F70" s="6"/>
      <c r="G70" s="6"/>
    </row>
    <row r="71" spans="1:10" ht="19" thickBot="1" x14ac:dyDescent="0.4">
      <c r="A71" s="5" t="s">
        <v>100</v>
      </c>
      <c r="B71" s="5" t="s">
        <v>168</v>
      </c>
      <c r="C71" s="5" t="s">
        <v>94</v>
      </c>
      <c r="D71" s="5" t="s">
        <v>169</v>
      </c>
      <c r="E71" s="8">
        <v>45919</v>
      </c>
      <c r="F71" s="8">
        <v>45932</v>
      </c>
      <c r="G71" s="9"/>
    </row>
    <row r="72" spans="1:10" ht="19" thickBot="1" x14ac:dyDescent="0.4">
      <c r="A72" s="3" t="s">
        <v>170</v>
      </c>
      <c r="B72" s="3" t="s">
        <v>171</v>
      </c>
      <c r="C72" s="3" t="s">
        <v>94</v>
      </c>
      <c r="D72" s="5" t="s">
        <v>172</v>
      </c>
      <c r="E72" s="6"/>
      <c r="F72" s="6"/>
      <c r="G72" s="6"/>
    </row>
    <row r="73" spans="1:10" ht="19" thickBot="1" x14ac:dyDescent="0.4">
      <c r="A73" s="5" t="s">
        <v>7</v>
      </c>
      <c r="B73" s="5" t="s">
        <v>173</v>
      </c>
      <c r="C73" s="5" t="s">
        <v>94</v>
      </c>
      <c r="D73" s="5" t="s">
        <v>174</v>
      </c>
      <c r="E73" s="8">
        <v>45901</v>
      </c>
      <c r="F73" s="8">
        <v>45912</v>
      </c>
      <c r="G73" s="9"/>
    </row>
    <row r="74" spans="1:10" ht="19" thickBot="1" x14ac:dyDescent="0.4">
      <c r="A74" s="3" t="s">
        <v>7</v>
      </c>
      <c r="B74" s="3" t="s">
        <v>175</v>
      </c>
      <c r="C74" s="3" t="s">
        <v>94</v>
      </c>
      <c r="D74" s="5" t="s">
        <v>176</v>
      </c>
      <c r="E74" s="6"/>
      <c r="F74" s="6"/>
      <c r="G74" s="6"/>
    </row>
    <row r="75" spans="1:10" ht="19" thickBot="1" x14ac:dyDescent="0.4">
      <c r="A75" s="3" t="s">
        <v>7</v>
      </c>
      <c r="B75" s="3" t="s">
        <v>177</v>
      </c>
      <c r="C75" s="3" t="s">
        <v>94</v>
      </c>
      <c r="D75" s="5" t="s">
        <v>178</v>
      </c>
      <c r="E75" s="6"/>
      <c r="F75" s="6"/>
      <c r="G75" s="6"/>
    </row>
    <row r="76" spans="1:10" ht="19" thickBot="1" x14ac:dyDescent="0.4">
      <c r="A76" s="3" t="s">
        <v>7</v>
      </c>
      <c r="B76" s="3" t="s">
        <v>179</v>
      </c>
      <c r="C76" s="3" t="s">
        <v>94</v>
      </c>
      <c r="D76" s="5" t="s">
        <v>180</v>
      </c>
      <c r="E76" s="6"/>
      <c r="F76" s="6"/>
      <c r="G76" s="6"/>
    </row>
    <row r="77" spans="1:10" ht="19" thickBot="1" x14ac:dyDescent="0.4">
      <c r="A77" s="3" t="s">
        <v>7</v>
      </c>
      <c r="B77" s="3" t="s">
        <v>181</v>
      </c>
      <c r="C77" s="3" t="s">
        <v>94</v>
      </c>
      <c r="D77" s="5" t="s">
        <v>182</v>
      </c>
      <c r="E77" s="6"/>
      <c r="F77" s="6"/>
      <c r="G77" s="6"/>
    </row>
    <row r="78" spans="1:10" ht="19" thickBot="1" x14ac:dyDescent="0.4">
      <c r="A78" s="29" t="s">
        <v>7</v>
      </c>
      <c r="B78" s="29" t="s">
        <v>183</v>
      </c>
      <c r="C78" s="29" t="s">
        <v>94</v>
      </c>
      <c r="D78" s="29" t="s">
        <v>184</v>
      </c>
      <c r="E78" s="29" t="s">
        <v>185</v>
      </c>
      <c r="F78" s="26"/>
      <c r="G78" s="26"/>
    </row>
    <row r="79" spans="1:10" ht="19" thickBot="1" x14ac:dyDescent="0.4">
      <c r="A79" s="3" t="s">
        <v>7</v>
      </c>
      <c r="B79" s="3" t="s">
        <v>186</v>
      </c>
      <c r="C79" s="3" t="s">
        <v>94</v>
      </c>
      <c r="D79" s="5" t="s">
        <v>187</v>
      </c>
      <c r="E79" s="6"/>
      <c r="F79" s="6"/>
      <c r="G79" s="6"/>
    </row>
    <row r="80" spans="1:10" ht="19" thickBot="1" x14ac:dyDescent="0.4">
      <c r="A80" s="3" t="s">
        <v>188</v>
      </c>
      <c r="B80" s="3" t="s">
        <v>189</v>
      </c>
      <c r="C80" s="3" t="s">
        <v>94</v>
      </c>
      <c r="D80" s="5" t="s">
        <v>190</v>
      </c>
      <c r="E80" s="6"/>
      <c r="F80" s="6"/>
      <c r="G80" s="6"/>
    </row>
    <row r="81" spans="1:10" ht="19" thickBot="1" x14ac:dyDescent="0.4">
      <c r="A81" s="5" t="s">
        <v>191</v>
      </c>
      <c r="B81" s="5" t="s">
        <v>192</v>
      </c>
      <c r="C81" s="5" t="s">
        <v>94</v>
      </c>
      <c r="D81" s="5" t="s">
        <v>193</v>
      </c>
      <c r="E81" s="30" t="s">
        <v>194</v>
      </c>
      <c r="F81" s="8">
        <v>45982</v>
      </c>
      <c r="G81" s="9"/>
    </row>
    <row r="82" spans="1:10" ht="19" thickBot="1" x14ac:dyDescent="0.4">
      <c r="A82" s="3" t="s">
        <v>7</v>
      </c>
      <c r="B82" s="3" t="s">
        <v>195</v>
      </c>
      <c r="C82" s="3" t="s">
        <v>94</v>
      </c>
      <c r="D82" s="5" t="s">
        <v>196</v>
      </c>
      <c r="E82" s="6"/>
      <c r="F82" s="6"/>
      <c r="G82" s="6"/>
    </row>
    <row r="83" spans="1:10" ht="19" thickBot="1" x14ac:dyDescent="0.4">
      <c r="A83" s="5" t="s">
        <v>100</v>
      </c>
      <c r="B83" s="5" t="s">
        <v>197</v>
      </c>
      <c r="C83" s="5" t="s">
        <v>94</v>
      </c>
      <c r="D83" s="5" t="s">
        <v>198</v>
      </c>
      <c r="E83" s="8">
        <v>45988</v>
      </c>
      <c r="F83" s="8">
        <v>45999</v>
      </c>
      <c r="G83" s="9"/>
    </row>
    <row r="84" spans="1:10" ht="19" thickBot="1" x14ac:dyDescent="0.5">
      <c r="A84" s="5" t="s">
        <v>7</v>
      </c>
      <c r="B84" s="5" t="s">
        <v>199</v>
      </c>
      <c r="C84" s="5" t="s">
        <v>94</v>
      </c>
      <c r="D84" s="5" t="s">
        <v>200</v>
      </c>
      <c r="E84" s="9"/>
      <c r="F84" s="31">
        <v>46086</v>
      </c>
      <c r="G84" s="9"/>
    </row>
    <row r="85" spans="1:10" ht="19" thickBot="1" x14ac:dyDescent="0.4">
      <c r="A85" s="11" t="s">
        <v>201</v>
      </c>
      <c r="B85" s="11" t="s">
        <v>202</v>
      </c>
      <c r="C85" s="11" t="s">
        <v>94</v>
      </c>
      <c r="D85" s="11" t="s">
        <v>203</v>
      </c>
      <c r="E85" s="13">
        <v>45988</v>
      </c>
      <c r="F85" s="13"/>
      <c r="G85" s="13" t="s">
        <v>13</v>
      </c>
      <c r="I85" s="20">
        <v>45919</v>
      </c>
      <c r="J85" s="20">
        <v>45932</v>
      </c>
    </row>
    <row r="86" spans="1:10" ht="19" thickBot="1" x14ac:dyDescent="0.4">
      <c r="A86" s="11" t="s">
        <v>7</v>
      </c>
      <c r="B86" s="11" t="s">
        <v>204</v>
      </c>
      <c r="C86" s="11" t="s">
        <v>94</v>
      </c>
      <c r="D86" s="11" t="s">
        <v>205</v>
      </c>
      <c r="E86" s="13">
        <v>45988</v>
      </c>
      <c r="F86" s="13"/>
      <c r="G86" s="13" t="s">
        <v>13</v>
      </c>
      <c r="I86" s="20">
        <v>45953</v>
      </c>
      <c r="J86" s="20">
        <v>45988</v>
      </c>
    </row>
    <row r="87" spans="1:10" ht="19" thickBot="1" x14ac:dyDescent="0.4">
      <c r="A87" s="5" t="s">
        <v>7</v>
      </c>
      <c r="B87" s="5" t="s">
        <v>206</v>
      </c>
      <c r="C87" s="5" t="s">
        <v>94</v>
      </c>
      <c r="D87" s="5" t="s">
        <v>207</v>
      </c>
      <c r="E87" s="9"/>
      <c r="F87" s="8">
        <v>46158</v>
      </c>
      <c r="G87" s="9"/>
    </row>
    <row r="88" spans="1:10" ht="19" thickBot="1" x14ac:dyDescent="0.4">
      <c r="A88" s="11" t="s">
        <v>7</v>
      </c>
      <c r="B88" s="11" t="s">
        <v>208</v>
      </c>
      <c r="C88" s="11" t="s">
        <v>94</v>
      </c>
      <c r="D88" s="11" t="s">
        <v>209</v>
      </c>
      <c r="E88" s="13">
        <v>45988</v>
      </c>
      <c r="F88" s="27"/>
      <c r="G88" s="13" t="s">
        <v>13</v>
      </c>
    </row>
    <row r="89" spans="1:10" ht="19" thickBot="1" x14ac:dyDescent="0.4">
      <c r="A89" s="5" t="s">
        <v>7</v>
      </c>
      <c r="B89" s="5" t="s">
        <v>210</v>
      </c>
      <c r="C89" s="5" t="s">
        <v>94</v>
      </c>
      <c r="D89" s="5" t="s">
        <v>211</v>
      </c>
      <c r="E89" s="8">
        <v>45988</v>
      </c>
      <c r="F89" s="8">
        <v>46052</v>
      </c>
      <c r="G89" s="8" t="s">
        <v>13</v>
      </c>
      <c r="I89" s="20">
        <v>45924</v>
      </c>
      <c r="J89" s="20">
        <v>45937</v>
      </c>
    </row>
    <row r="90" spans="1:10" ht="19" thickBot="1" x14ac:dyDescent="0.4">
      <c r="A90" s="3" t="s">
        <v>7</v>
      </c>
      <c r="B90" s="3" t="s">
        <v>212</v>
      </c>
      <c r="C90" s="3" t="s">
        <v>94</v>
      </c>
      <c r="D90" s="5" t="s">
        <v>213</v>
      </c>
      <c r="E90" s="6"/>
      <c r="F90" s="6"/>
      <c r="G90" s="6"/>
    </row>
    <row r="91" spans="1:10" ht="19" thickBot="1" x14ac:dyDescent="0.4">
      <c r="A91" s="5" t="s">
        <v>7</v>
      </c>
      <c r="B91" s="5" t="s">
        <v>214</v>
      </c>
      <c r="C91" s="5" t="s">
        <v>215</v>
      </c>
      <c r="D91" s="5" t="s">
        <v>216</v>
      </c>
      <c r="E91" s="9"/>
      <c r="F91" s="8">
        <v>46052</v>
      </c>
      <c r="G91" s="9"/>
    </row>
    <row r="92" spans="1:10" ht="19" thickBot="1" x14ac:dyDescent="0.4">
      <c r="A92" s="3" t="s">
        <v>7</v>
      </c>
      <c r="B92" s="3" t="s">
        <v>217</v>
      </c>
      <c r="C92" s="3" t="s">
        <v>215</v>
      </c>
      <c r="D92" s="5" t="s">
        <v>218</v>
      </c>
      <c r="E92" s="6"/>
      <c r="F92" s="6"/>
      <c r="G92" s="6"/>
    </row>
    <row r="93" spans="1:10" ht="19" thickBot="1" x14ac:dyDescent="0.4">
      <c r="A93" s="3" t="s">
        <v>7</v>
      </c>
      <c r="B93" s="3" t="s">
        <v>219</v>
      </c>
      <c r="C93" s="3" t="s">
        <v>215</v>
      </c>
      <c r="D93" s="5" t="s">
        <v>220</v>
      </c>
      <c r="E93" s="6"/>
      <c r="F93" s="6"/>
      <c r="G93" s="6"/>
    </row>
    <row r="94" spans="1:10" ht="19" thickBot="1" x14ac:dyDescent="0.4">
      <c r="A94" s="3" t="s">
        <v>7</v>
      </c>
      <c r="B94" s="3" t="s">
        <v>221</v>
      </c>
      <c r="C94" s="3" t="s">
        <v>215</v>
      </c>
      <c r="D94" s="5" t="s">
        <v>222</v>
      </c>
      <c r="E94" s="6"/>
      <c r="F94" s="6"/>
      <c r="G94" s="6"/>
    </row>
    <row r="95" spans="1:10" ht="19" thickBot="1" x14ac:dyDescent="0.4">
      <c r="A95" s="5" t="s">
        <v>7</v>
      </c>
      <c r="B95" s="5" t="s">
        <v>223</v>
      </c>
      <c r="C95" s="5" t="s">
        <v>215</v>
      </c>
      <c r="D95" s="5" t="s">
        <v>224</v>
      </c>
      <c r="E95" s="8">
        <v>45919</v>
      </c>
      <c r="F95" s="8">
        <v>45715</v>
      </c>
      <c r="G95" s="8" t="s">
        <v>225</v>
      </c>
    </row>
    <row r="96" spans="1:10" ht="19" thickBot="1" x14ac:dyDescent="0.4">
      <c r="A96" s="3" t="s">
        <v>7</v>
      </c>
      <c r="B96" s="3" t="s">
        <v>226</v>
      </c>
      <c r="C96" s="3" t="s">
        <v>215</v>
      </c>
      <c r="D96" s="5" t="s">
        <v>227</v>
      </c>
      <c r="E96" s="6"/>
      <c r="F96" s="6"/>
      <c r="G96" s="6"/>
    </row>
    <row r="97" spans="1:10" ht="19" thickBot="1" x14ac:dyDescent="0.4">
      <c r="A97" s="32" t="s">
        <v>7</v>
      </c>
      <c r="B97" s="32" t="s">
        <v>228</v>
      </c>
      <c r="C97" s="32" t="s">
        <v>215</v>
      </c>
      <c r="D97" s="32" t="s">
        <v>229</v>
      </c>
      <c r="E97" s="32" t="s">
        <v>84</v>
      </c>
      <c r="F97" s="19">
        <v>45981</v>
      </c>
      <c r="G97" s="33"/>
    </row>
    <row r="98" spans="1:10" ht="19" thickBot="1" x14ac:dyDescent="0.4">
      <c r="A98" s="5" t="s">
        <v>7</v>
      </c>
      <c r="B98" s="5" t="s">
        <v>230</v>
      </c>
      <c r="C98" s="5" t="s">
        <v>215</v>
      </c>
      <c r="D98" s="5" t="s">
        <v>231</v>
      </c>
      <c r="E98" s="8">
        <v>45988</v>
      </c>
      <c r="F98" s="8">
        <v>46027</v>
      </c>
      <c r="G98" s="8" t="s">
        <v>13</v>
      </c>
      <c r="I98" s="20">
        <v>45924</v>
      </c>
      <c r="J98" s="20">
        <v>45937</v>
      </c>
    </row>
    <row r="99" spans="1:10" ht="19" thickBot="1" x14ac:dyDescent="0.4">
      <c r="A99" s="3" t="s">
        <v>7</v>
      </c>
      <c r="B99" s="3" t="s">
        <v>232</v>
      </c>
      <c r="C99" s="3" t="s">
        <v>215</v>
      </c>
      <c r="D99" s="5" t="s">
        <v>233</v>
      </c>
      <c r="E99" s="6"/>
      <c r="F99" s="10"/>
      <c r="G99" s="6"/>
    </row>
    <row r="100" spans="1:10" ht="19" thickBot="1" x14ac:dyDescent="0.4">
      <c r="A100" s="5" t="s">
        <v>7</v>
      </c>
      <c r="B100" s="5" t="s">
        <v>234</v>
      </c>
      <c r="C100" s="5" t="s">
        <v>215</v>
      </c>
      <c r="D100" s="5" t="s">
        <v>235</v>
      </c>
      <c r="E100" s="9"/>
      <c r="F100" s="8">
        <v>46206</v>
      </c>
      <c r="G100" s="9"/>
    </row>
    <row r="101" spans="1:10" ht="19" thickBot="1" x14ac:dyDescent="0.4">
      <c r="A101" s="3" t="s">
        <v>7</v>
      </c>
      <c r="B101" s="3" t="s">
        <v>236</v>
      </c>
      <c r="C101" s="3" t="s">
        <v>215</v>
      </c>
      <c r="D101" s="5" t="s">
        <v>237</v>
      </c>
      <c r="E101" s="6"/>
      <c r="F101" s="10"/>
      <c r="G101" s="6"/>
    </row>
    <row r="102" spans="1:10" ht="19" thickBot="1" x14ac:dyDescent="0.4">
      <c r="A102" s="3" t="s">
        <v>7</v>
      </c>
      <c r="B102" s="3" t="s">
        <v>238</v>
      </c>
      <c r="C102" s="3" t="s">
        <v>215</v>
      </c>
      <c r="D102" s="5" t="s">
        <v>239</v>
      </c>
      <c r="E102" s="6"/>
      <c r="F102" s="10"/>
      <c r="G102" s="6"/>
    </row>
    <row r="103" spans="1:10" ht="19" thickBot="1" x14ac:dyDescent="0.4">
      <c r="A103" s="34" t="s">
        <v>7</v>
      </c>
      <c r="B103" s="34" t="s">
        <v>240</v>
      </c>
      <c r="C103" s="34" t="s">
        <v>215</v>
      </c>
      <c r="D103" s="34" t="s">
        <v>241</v>
      </c>
      <c r="E103" s="35">
        <v>45988</v>
      </c>
      <c r="F103" s="14"/>
      <c r="G103" s="13" t="s">
        <v>13</v>
      </c>
    </row>
    <row r="104" spans="1:10" ht="19" thickBot="1" x14ac:dyDescent="0.4">
      <c r="A104" s="3" t="s">
        <v>7</v>
      </c>
      <c r="B104" s="3" t="s">
        <v>242</v>
      </c>
      <c r="C104" s="3" t="s">
        <v>215</v>
      </c>
      <c r="D104" s="5" t="s">
        <v>243</v>
      </c>
      <c r="E104" s="6"/>
      <c r="F104" s="6"/>
      <c r="G104" s="6"/>
    </row>
    <row r="105" spans="1:10" ht="19" thickBot="1" x14ac:dyDescent="0.4">
      <c r="A105" s="3" t="s">
        <v>7</v>
      </c>
      <c r="B105" s="3" t="s">
        <v>244</v>
      </c>
      <c r="C105" s="3" t="s">
        <v>215</v>
      </c>
      <c r="D105" s="5" t="s">
        <v>245</v>
      </c>
      <c r="E105" s="6"/>
      <c r="F105" s="6"/>
      <c r="G105" s="6"/>
    </row>
    <row r="106" spans="1:10" ht="19" thickBot="1" x14ac:dyDescent="0.4">
      <c r="A106" s="3" t="s">
        <v>7</v>
      </c>
      <c r="B106" s="3" t="s">
        <v>246</v>
      </c>
      <c r="C106" s="3" t="s">
        <v>215</v>
      </c>
      <c r="D106" s="5" t="s">
        <v>247</v>
      </c>
      <c r="E106" s="6"/>
      <c r="F106" s="6"/>
      <c r="G106" s="6"/>
    </row>
    <row r="107" spans="1:10" ht="19" thickBot="1" x14ac:dyDescent="0.4">
      <c r="A107" s="5" t="s">
        <v>7</v>
      </c>
      <c r="B107" s="5" t="s">
        <v>248</v>
      </c>
      <c r="C107" s="5" t="s">
        <v>215</v>
      </c>
      <c r="D107" s="5" t="s">
        <v>249</v>
      </c>
      <c r="E107" s="8">
        <v>45988</v>
      </c>
      <c r="F107" s="8">
        <v>45999</v>
      </c>
      <c r="G107" s="9"/>
    </row>
    <row r="108" spans="1:10" ht="19" thickBot="1" x14ac:dyDescent="0.4">
      <c r="A108" s="5" t="s">
        <v>7</v>
      </c>
      <c r="B108" s="5" t="s">
        <v>250</v>
      </c>
      <c r="C108" s="5" t="s">
        <v>215</v>
      </c>
      <c r="D108" s="5" t="s">
        <v>251</v>
      </c>
      <c r="E108" s="8">
        <v>45953</v>
      </c>
      <c r="F108" s="8">
        <v>46100</v>
      </c>
      <c r="G108" s="9"/>
    </row>
    <row r="109" spans="1:10" ht="19" thickBot="1" x14ac:dyDescent="0.4">
      <c r="A109" s="5" t="s">
        <v>7</v>
      </c>
      <c r="B109" s="5" t="s">
        <v>252</v>
      </c>
      <c r="C109" s="5" t="s">
        <v>253</v>
      </c>
      <c r="D109" s="5" t="s">
        <v>254</v>
      </c>
      <c r="E109" s="8">
        <v>45980</v>
      </c>
      <c r="F109" s="8" t="s">
        <v>255</v>
      </c>
      <c r="G109" s="9"/>
    </row>
    <row r="110" spans="1:10" ht="19" thickBot="1" x14ac:dyDescent="0.4">
      <c r="A110" s="3" t="s">
        <v>7</v>
      </c>
      <c r="B110" s="3" t="s">
        <v>256</v>
      </c>
      <c r="C110" s="3" t="s">
        <v>253</v>
      </c>
      <c r="D110" s="5" t="s">
        <v>257</v>
      </c>
      <c r="E110" s="6"/>
      <c r="F110" s="6"/>
      <c r="G110" s="6"/>
    </row>
    <row r="111" spans="1:10" ht="19" thickBot="1" x14ac:dyDescent="0.4">
      <c r="A111" s="3" t="s">
        <v>7</v>
      </c>
      <c r="B111" s="3" t="s">
        <v>258</v>
      </c>
      <c r="C111" s="3" t="s">
        <v>253</v>
      </c>
      <c r="D111" s="5" t="s">
        <v>259</v>
      </c>
      <c r="E111" s="6"/>
      <c r="F111" s="10"/>
      <c r="G111" s="6"/>
    </row>
    <row r="112" spans="1:10" ht="19" thickBot="1" x14ac:dyDescent="0.4">
      <c r="A112" s="3" t="s">
        <v>7</v>
      </c>
      <c r="B112" s="3" t="s">
        <v>260</v>
      </c>
      <c r="C112" s="3" t="s">
        <v>253</v>
      </c>
      <c r="D112" s="5" t="s">
        <v>261</v>
      </c>
      <c r="E112" s="6"/>
      <c r="F112" s="10"/>
      <c r="G112" s="6"/>
    </row>
    <row r="113" spans="1:9" ht="19" thickBot="1" x14ac:dyDescent="0.4">
      <c r="A113" s="3" t="s">
        <v>7</v>
      </c>
      <c r="B113" s="3" t="s">
        <v>262</v>
      </c>
      <c r="C113" s="3" t="s">
        <v>253</v>
      </c>
      <c r="D113" s="5" t="s">
        <v>263</v>
      </c>
      <c r="E113" s="6"/>
      <c r="F113" s="10"/>
      <c r="G113" s="6"/>
    </row>
    <row r="114" spans="1:9" ht="19" thickBot="1" x14ac:dyDescent="0.4">
      <c r="A114" s="3" t="s">
        <v>7</v>
      </c>
      <c r="B114" s="3" t="s">
        <v>264</v>
      </c>
      <c r="C114" s="3" t="s">
        <v>253</v>
      </c>
      <c r="D114" s="5" t="s">
        <v>265</v>
      </c>
      <c r="E114" s="6"/>
      <c r="F114" s="10"/>
      <c r="G114" s="6"/>
    </row>
    <row r="115" spans="1:9" ht="19" thickBot="1" x14ac:dyDescent="0.4">
      <c r="A115" s="3" t="s">
        <v>7</v>
      </c>
      <c r="B115" s="3" t="s">
        <v>266</v>
      </c>
      <c r="C115" s="3" t="s">
        <v>253</v>
      </c>
      <c r="D115" s="5" t="s">
        <v>267</v>
      </c>
      <c r="E115" s="6"/>
      <c r="F115" s="10"/>
      <c r="G115" s="6"/>
    </row>
    <row r="116" spans="1:9" ht="19" thickBot="1" x14ac:dyDescent="0.4">
      <c r="A116" s="24" t="s">
        <v>7</v>
      </c>
      <c r="B116" s="24" t="s">
        <v>268</v>
      </c>
      <c r="C116" s="24" t="s">
        <v>253</v>
      </c>
      <c r="D116" s="24" t="s">
        <v>269</v>
      </c>
      <c r="E116" s="25">
        <v>45988</v>
      </c>
      <c r="F116" s="36"/>
      <c r="G116" s="26"/>
      <c r="H116" s="20">
        <v>45953</v>
      </c>
      <c r="I116" s="20">
        <v>45982</v>
      </c>
    </row>
    <row r="117" spans="1:9" ht="19" thickBot="1" x14ac:dyDescent="0.4">
      <c r="A117" s="5" t="s">
        <v>7</v>
      </c>
      <c r="B117" s="5" t="s">
        <v>270</v>
      </c>
      <c r="C117" s="5" t="s">
        <v>253</v>
      </c>
      <c r="D117" s="5" t="s">
        <v>271</v>
      </c>
      <c r="E117" s="9"/>
      <c r="F117" s="8">
        <v>45982</v>
      </c>
      <c r="G117" s="9"/>
    </row>
    <row r="118" spans="1:9" ht="19" thickBot="1" x14ac:dyDescent="0.4">
      <c r="A118" s="5" t="s">
        <v>7</v>
      </c>
      <c r="B118" s="5" t="s">
        <v>272</v>
      </c>
      <c r="C118" s="5" t="s">
        <v>253</v>
      </c>
      <c r="D118" s="5" t="s">
        <v>273</v>
      </c>
      <c r="E118" s="8">
        <v>45901</v>
      </c>
      <c r="F118" s="8">
        <v>45912</v>
      </c>
      <c r="G118" s="9"/>
    </row>
    <row r="119" spans="1:9" ht="19" thickBot="1" x14ac:dyDescent="0.4">
      <c r="A119" s="3" t="s">
        <v>7</v>
      </c>
      <c r="B119" s="3" t="s">
        <v>274</v>
      </c>
      <c r="C119" s="3" t="s">
        <v>253</v>
      </c>
      <c r="D119" s="5" t="s">
        <v>275</v>
      </c>
      <c r="E119" s="6"/>
      <c r="F119" s="6"/>
      <c r="G119" s="6"/>
    </row>
    <row r="120" spans="1:9" ht="19" thickBot="1" x14ac:dyDescent="0.4">
      <c r="A120" s="3" t="s">
        <v>7</v>
      </c>
      <c r="B120" s="3" t="s">
        <v>276</v>
      </c>
      <c r="C120" s="3" t="s">
        <v>253</v>
      </c>
      <c r="D120" s="5" t="s">
        <v>277</v>
      </c>
      <c r="E120" s="6"/>
      <c r="F120" s="6"/>
      <c r="G120" s="6"/>
    </row>
    <row r="121" spans="1:9" ht="19" thickBot="1" x14ac:dyDescent="0.4">
      <c r="A121" s="5" t="s">
        <v>7</v>
      </c>
      <c r="B121" s="5" t="s">
        <v>278</v>
      </c>
      <c r="C121" s="5" t="s">
        <v>253</v>
      </c>
      <c r="D121" s="5" t="s">
        <v>279</v>
      </c>
      <c r="E121" s="8">
        <v>45953</v>
      </c>
      <c r="F121" s="8">
        <v>45988</v>
      </c>
      <c r="G121" s="9"/>
    </row>
    <row r="122" spans="1:9" ht="19" thickBot="1" x14ac:dyDescent="0.4">
      <c r="A122" s="3" t="s">
        <v>7</v>
      </c>
      <c r="B122" s="3" t="s">
        <v>280</v>
      </c>
      <c r="C122" s="3" t="s">
        <v>253</v>
      </c>
      <c r="D122" s="5" t="s">
        <v>281</v>
      </c>
      <c r="E122" s="6"/>
      <c r="F122" s="6"/>
      <c r="G122" s="6"/>
    </row>
    <row r="123" spans="1:9" ht="19" thickBot="1" x14ac:dyDescent="0.4">
      <c r="A123" s="3" t="s">
        <v>7</v>
      </c>
      <c r="B123" s="3" t="s">
        <v>282</v>
      </c>
      <c r="C123" s="3" t="s">
        <v>253</v>
      </c>
      <c r="D123" s="5" t="s">
        <v>283</v>
      </c>
      <c r="E123" s="6"/>
      <c r="F123" s="6"/>
      <c r="G123" s="6"/>
    </row>
    <row r="124" spans="1:9" ht="19" thickBot="1" x14ac:dyDescent="0.4">
      <c r="A124" s="5" t="s">
        <v>7</v>
      </c>
      <c r="B124" s="5" t="s">
        <v>284</v>
      </c>
      <c r="C124" s="5" t="s">
        <v>253</v>
      </c>
      <c r="D124" s="5" t="s">
        <v>285</v>
      </c>
      <c r="E124" s="8">
        <v>45919</v>
      </c>
      <c r="F124" s="8">
        <v>45924</v>
      </c>
      <c r="G124" s="9"/>
    </row>
    <row r="125" spans="1:9" ht="19" thickBot="1" x14ac:dyDescent="0.4">
      <c r="A125" s="5" t="s">
        <v>7</v>
      </c>
      <c r="B125" s="5" t="s">
        <v>286</v>
      </c>
      <c r="C125" s="5" t="s">
        <v>253</v>
      </c>
      <c r="D125" s="5" t="s">
        <v>287</v>
      </c>
      <c r="E125" s="8">
        <v>45919</v>
      </c>
      <c r="F125" s="8" t="s">
        <v>288</v>
      </c>
      <c r="G125" s="9"/>
    </row>
    <row r="126" spans="1:9" ht="19" thickBot="1" x14ac:dyDescent="0.4">
      <c r="A126" s="11" t="s">
        <v>7</v>
      </c>
      <c r="B126" s="11" t="s">
        <v>289</v>
      </c>
      <c r="C126" s="11" t="s">
        <v>253</v>
      </c>
      <c r="D126" s="11" t="s">
        <v>290</v>
      </c>
      <c r="E126" s="13">
        <v>45988</v>
      </c>
      <c r="F126" s="27"/>
      <c r="G126" s="13" t="s">
        <v>13</v>
      </c>
    </row>
    <row r="127" spans="1:9" ht="19" thickBot="1" x14ac:dyDescent="0.4">
      <c r="A127" s="11" t="s">
        <v>7</v>
      </c>
      <c r="B127" s="11" t="s">
        <v>291</v>
      </c>
      <c r="C127" s="11" t="s">
        <v>253</v>
      </c>
      <c r="D127" s="11" t="s">
        <v>292</v>
      </c>
      <c r="E127" s="13">
        <v>45988</v>
      </c>
      <c r="F127" s="27"/>
      <c r="G127" s="13" t="s">
        <v>13</v>
      </c>
    </row>
    <row r="128" spans="1:9" ht="19" thickBot="1" x14ac:dyDescent="0.4">
      <c r="A128" s="3" t="s">
        <v>7</v>
      </c>
      <c r="B128" s="3" t="s">
        <v>293</v>
      </c>
      <c r="C128" s="3" t="s">
        <v>253</v>
      </c>
      <c r="D128" s="5" t="s">
        <v>294</v>
      </c>
      <c r="E128" s="6"/>
      <c r="F128" s="6"/>
      <c r="G128" s="6"/>
      <c r="H128" s="20"/>
      <c r="I128" s="20"/>
    </row>
    <row r="129" spans="1:7" ht="19" thickBot="1" x14ac:dyDescent="0.4">
      <c r="A129" s="3" t="s">
        <v>7</v>
      </c>
      <c r="B129" s="3" t="s">
        <v>295</v>
      </c>
      <c r="C129" s="3" t="s">
        <v>253</v>
      </c>
      <c r="D129" s="5" t="s">
        <v>296</v>
      </c>
      <c r="E129" s="6"/>
      <c r="F129" s="6"/>
      <c r="G129" s="6"/>
    </row>
    <row r="130" spans="1:7" ht="19" thickBot="1" x14ac:dyDescent="0.4">
      <c r="A130" s="11" t="s">
        <v>7</v>
      </c>
      <c r="B130" s="11" t="s">
        <v>297</v>
      </c>
      <c r="C130" s="11" t="s">
        <v>253</v>
      </c>
      <c r="D130" s="11" t="s">
        <v>298</v>
      </c>
      <c r="E130" s="13">
        <v>45988</v>
      </c>
      <c r="F130" s="27"/>
      <c r="G130" s="13" t="s">
        <v>13</v>
      </c>
    </row>
    <row r="131" spans="1:7" ht="19" thickBot="1" x14ac:dyDescent="0.4">
      <c r="A131" s="5" t="s">
        <v>7</v>
      </c>
      <c r="B131" s="5" t="s">
        <v>299</v>
      </c>
      <c r="C131" s="5" t="s">
        <v>253</v>
      </c>
      <c r="D131" s="5" t="s">
        <v>300</v>
      </c>
      <c r="E131" s="8">
        <v>45980</v>
      </c>
      <c r="F131" s="8"/>
      <c r="G131" s="9"/>
    </row>
    <row r="132" spans="1:7" ht="19" thickBot="1" x14ac:dyDescent="0.4">
      <c r="A132" s="5" t="s">
        <v>7</v>
      </c>
      <c r="B132" s="5" t="s">
        <v>301</v>
      </c>
      <c r="C132" s="5" t="s">
        <v>253</v>
      </c>
      <c r="D132" s="5" t="s">
        <v>302</v>
      </c>
      <c r="E132" s="8">
        <v>45901</v>
      </c>
      <c r="F132" s="8">
        <v>45912</v>
      </c>
      <c r="G132" s="9"/>
    </row>
    <row r="133" spans="1:7" ht="19" thickBot="1" x14ac:dyDescent="0.4">
      <c r="A133" s="5" t="s">
        <v>7</v>
      </c>
      <c r="B133" s="5" t="s">
        <v>303</v>
      </c>
      <c r="C133" s="5" t="s">
        <v>253</v>
      </c>
      <c r="D133" s="5" t="s">
        <v>304</v>
      </c>
      <c r="E133" s="8">
        <v>45880</v>
      </c>
      <c r="F133" s="8">
        <v>45889</v>
      </c>
      <c r="G133" s="9"/>
    </row>
    <row r="134" spans="1:7" ht="19" thickBot="1" x14ac:dyDescent="0.4">
      <c r="A134" s="11" t="s">
        <v>7</v>
      </c>
      <c r="B134" s="11" t="s">
        <v>305</v>
      </c>
      <c r="C134" s="11" t="s">
        <v>306</v>
      </c>
      <c r="D134" s="11" t="s">
        <v>307</v>
      </c>
      <c r="E134" s="13">
        <v>45988</v>
      </c>
      <c r="F134" s="27"/>
      <c r="G134" s="13" t="s">
        <v>13</v>
      </c>
    </row>
    <row r="135" spans="1:7" ht="19" thickBot="1" x14ac:dyDescent="0.4">
      <c r="A135" s="5" t="s">
        <v>7</v>
      </c>
      <c r="B135" s="5" t="s">
        <v>308</v>
      </c>
      <c r="C135" s="5" t="s">
        <v>306</v>
      </c>
      <c r="D135" s="5" t="s">
        <v>309</v>
      </c>
      <c r="E135" s="8">
        <v>45880</v>
      </c>
      <c r="F135" s="19" t="s">
        <v>310</v>
      </c>
      <c r="G135" s="15">
        <v>45889</v>
      </c>
    </row>
    <row r="136" spans="1:7" ht="19" thickBot="1" x14ac:dyDescent="0.4">
      <c r="A136" s="5" t="s">
        <v>7</v>
      </c>
      <c r="B136" s="5" t="s">
        <v>311</v>
      </c>
      <c r="C136" s="5" t="s">
        <v>306</v>
      </c>
      <c r="D136" s="5" t="s">
        <v>312</v>
      </c>
      <c r="E136" s="8">
        <v>45919</v>
      </c>
      <c r="F136" s="15">
        <v>45932</v>
      </c>
      <c r="G136" s="9"/>
    </row>
    <row r="137" spans="1:7" ht="19" thickBot="1" x14ac:dyDescent="0.4">
      <c r="A137" s="5" t="s">
        <v>7</v>
      </c>
      <c r="B137" s="5" t="s">
        <v>313</v>
      </c>
      <c r="C137" s="5" t="s">
        <v>306</v>
      </c>
      <c r="D137" s="5" t="s">
        <v>314</v>
      </c>
      <c r="E137" s="8">
        <v>45988</v>
      </c>
      <c r="F137" s="15">
        <v>45999</v>
      </c>
      <c r="G137" s="9"/>
    </row>
    <row r="138" spans="1:7" ht="19" thickBot="1" x14ac:dyDescent="0.4">
      <c r="A138" s="5" t="s">
        <v>7</v>
      </c>
      <c r="B138" s="5" t="s">
        <v>315</v>
      </c>
      <c r="C138" s="5" t="s">
        <v>306</v>
      </c>
      <c r="D138" s="5" t="s">
        <v>316</v>
      </c>
      <c r="E138" s="8">
        <v>45988</v>
      </c>
      <c r="F138" s="8">
        <v>46027</v>
      </c>
      <c r="G138" s="9"/>
    </row>
    <row r="139" spans="1:7" ht="19" thickBot="1" x14ac:dyDescent="0.4">
      <c r="A139" s="3" t="s">
        <v>7</v>
      </c>
      <c r="B139" s="3" t="s">
        <v>317</v>
      </c>
      <c r="C139" s="3" t="s">
        <v>306</v>
      </c>
      <c r="D139" s="5" t="s">
        <v>318</v>
      </c>
      <c r="E139" s="6"/>
      <c r="F139" s="10"/>
      <c r="G139" s="6"/>
    </row>
    <row r="140" spans="1:7" ht="19" thickBot="1" x14ac:dyDescent="0.4">
      <c r="A140" s="5" t="s">
        <v>7</v>
      </c>
      <c r="B140" s="5" t="s">
        <v>319</v>
      </c>
      <c r="C140" s="5" t="s">
        <v>306</v>
      </c>
      <c r="D140" s="5" t="s">
        <v>320</v>
      </c>
      <c r="E140" s="8">
        <v>45901</v>
      </c>
      <c r="F140" s="15">
        <v>45912</v>
      </c>
      <c r="G140" s="9"/>
    </row>
    <row r="141" spans="1:7" ht="19" thickBot="1" x14ac:dyDescent="0.4">
      <c r="A141" s="3" t="s">
        <v>7</v>
      </c>
      <c r="B141" s="3" t="s">
        <v>321</v>
      </c>
      <c r="C141" s="3" t="s">
        <v>306</v>
      </c>
      <c r="D141" s="5" t="s">
        <v>322</v>
      </c>
      <c r="E141" s="6"/>
      <c r="F141" s="10"/>
      <c r="G141" s="6"/>
    </row>
    <row r="142" spans="1:7" ht="19" thickBot="1" x14ac:dyDescent="0.4">
      <c r="A142" s="5" t="s">
        <v>7</v>
      </c>
      <c r="B142" s="5" t="s">
        <v>323</v>
      </c>
      <c r="C142" s="5" t="s">
        <v>306</v>
      </c>
      <c r="D142" s="5" t="s">
        <v>324</v>
      </c>
      <c r="E142" s="8">
        <v>45988</v>
      </c>
      <c r="F142" s="15">
        <v>45999</v>
      </c>
      <c r="G142" s="9"/>
    </row>
    <row r="143" spans="1:7" ht="19" thickBot="1" x14ac:dyDescent="0.5">
      <c r="A143" s="5" t="s">
        <v>7</v>
      </c>
      <c r="B143" s="5" t="s">
        <v>325</v>
      </c>
      <c r="C143" s="5" t="s">
        <v>306</v>
      </c>
      <c r="D143" s="5" t="s">
        <v>326</v>
      </c>
      <c r="E143" s="9"/>
      <c r="F143" s="31">
        <v>46100</v>
      </c>
      <c r="G143" s="9"/>
    </row>
    <row r="144" spans="1:7" ht="19" thickBot="1" x14ac:dyDescent="0.4">
      <c r="A144" s="3" t="s">
        <v>7</v>
      </c>
      <c r="B144" s="3" t="s">
        <v>327</v>
      </c>
      <c r="C144" s="3" t="s">
        <v>306</v>
      </c>
      <c r="D144" s="5" t="s">
        <v>328</v>
      </c>
      <c r="E144" s="6"/>
      <c r="F144" s="6"/>
      <c r="G144" s="6"/>
    </row>
    <row r="145" spans="1:7" ht="19" thickBot="1" x14ac:dyDescent="0.4">
      <c r="A145" s="5" t="s">
        <v>7</v>
      </c>
      <c r="B145" s="5" t="s">
        <v>329</v>
      </c>
      <c r="C145" s="5" t="s">
        <v>306</v>
      </c>
      <c r="D145" s="5" t="s">
        <v>330</v>
      </c>
      <c r="E145" s="8">
        <v>45988</v>
      </c>
      <c r="F145" s="8">
        <v>45999</v>
      </c>
      <c r="G145" s="9"/>
    </row>
    <row r="146" spans="1:7" ht="19" thickBot="1" x14ac:dyDescent="0.4">
      <c r="A146" s="32" t="s">
        <v>7</v>
      </c>
      <c r="B146" s="32" t="s">
        <v>331</v>
      </c>
      <c r="C146" s="32" t="s">
        <v>306</v>
      </c>
      <c r="D146" s="32" t="s">
        <v>332</v>
      </c>
      <c r="E146" s="32" t="s">
        <v>333</v>
      </c>
      <c r="F146" s="37" t="s">
        <v>334</v>
      </c>
      <c r="G146" s="9"/>
    </row>
    <row r="147" spans="1:7" ht="19" thickBot="1" x14ac:dyDescent="0.4">
      <c r="A147" s="3" t="s">
        <v>7</v>
      </c>
      <c r="B147" s="3" t="s">
        <v>335</v>
      </c>
      <c r="C147" s="3" t="s">
        <v>306</v>
      </c>
      <c r="D147" s="5" t="s">
        <v>336</v>
      </c>
      <c r="E147" s="6"/>
      <c r="F147" s="6"/>
      <c r="G147" s="6"/>
    </row>
    <row r="148" spans="1:7" ht="19" thickBot="1" x14ac:dyDescent="0.4">
      <c r="A148" s="5" t="s">
        <v>7</v>
      </c>
      <c r="B148" s="5" t="s">
        <v>337</v>
      </c>
      <c r="C148" s="5" t="s">
        <v>306</v>
      </c>
      <c r="D148" s="5" t="s">
        <v>338</v>
      </c>
      <c r="E148" s="8">
        <v>45980</v>
      </c>
      <c r="F148" s="8">
        <v>45995</v>
      </c>
      <c r="G148" s="9"/>
    </row>
    <row r="149" spans="1:7" ht="19" thickBot="1" x14ac:dyDescent="0.4">
      <c r="A149" s="3" t="s">
        <v>7</v>
      </c>
      <c r="B149" s="3" t="s">
        <v>339</v>
      </c>
      <c r="C149" s="3" t="s">
        <v>306</v>
      </c>
      <c r="D149" s="5" t="s">
        <v>340</v>
      </c>
      <c r="E149" s="6"/>
      <c r="F149" s="6"/>
      <c r="G149" s="6"/>
    </row>
    <row r="150" spans="1:7" ht="19" thickBot="1" x14ac:dyDescent="0.4">
      <c r="A150" s="3" t="s">
        <v>7</v>
      </c>
      <c r="B150" s="3" t="s">
        <v>341</v>
      </c>
      <c r="C150" s="3" t="s">
        <v>342</v>
      </c>
      <c r="D150" s="5" t="s">
        <v>343</v>
      </c>
      <c r="E150" s="6"/>
      <c r="F150" s="6"/>
      <c r="G150" s="6"/>
    </row>
    <row r="151" spans="1:7" ht="19" thickBot="1" x14ac:dyDescent="0.4">
      <c r="A151" s="5" t="s">
        <v>7</v>
      </c>
      <c r="B151" s="5" t="s">
        <v>344</v>
      </c>
      <c r="C151" s="5" t="s">
        <v>342</v>
      </c>
      <c r="D151" s="5" t="s">
        <v>345</v>
      </c>
      <c r="E151" s="9"/>
      <c r="F151" s="8">
        <v>46119</v>
      </c>
      <c r="G151" s="9"/>
    </row>
    <row r="152" spans="1:7" ht="19" thickBot="1" x14ac:dyDescent="0.4">
      <c r="A152" s="3" t="s">
        <v>7</v>
      </c>
      <c r="B152" s="3" t="s">
        <v>346</v>
      </c>
      <c r="C152" s="3" t="s">
        <v>342</v>
      </c>
      <c r="D152" s="5" t="s">
        <v>347</v>
      </c>
      <c r="E152" s="6"/>
      <c r="F152" s="6"/>
      <c r="G152" s="6"/>
    </row>
    <row r="153" spans="1:7" ht="19" thickBot="1" x14ac:dyDescent="0.4">
      <c r="A153" s="3" t="s">
        <v>7</v>
      </c>
      <c r="B153" s="3" t="s">
        <v>348</v>
      </c>
      <c r="C153" s="3" t="s">
        <v>342</v>
      </c>
      <c r="D153" s="5" t="s">
        <v>349</v>
      </c>
      <c r="E153" s="6"/>
      <c r="F153" s="6"/>
      <c r="G153" s="6"/>
    </row>
    <row r="154" spans="1:7" ht="19" thickBot="1" x14ac:dyDescent="0.4">
      <c r="A154" s="3" t="s">
        <v>7</v>
      </c>
      <c r="B154" s="3" t="s">
        <v>350</v>
      </c>
      <c r="C154" s="3" t="s">
        <v>342</v>
      </c>
      <c r="D154" s="5" t="s">
        <v>351</v>
      </c>
      <c r="E154" s="6"/>
      <c r="F154" s="10"/>
      <c r="G154" s="6"/>
    </row>
    <row r="155" spans="1:7" ht="19" thickBot="1" x14ac:dyDescent="0.4">
      <c r="A155" s="3" t="s">
        <v>7</v>
      </c>
      <c r="B155" s="3" t="s">
        <v>352</v>
      </c>
      <c r="C155" s="3" t="s">
        <v>342</v>
      </c>
      <c r="D155" s="5" t="s">
        <v>353</v>
      </c>
      <c r="E155" s="6"/>
      <c r="F155" s="10"/>
      <c r="G155" s="6"/>
    </row>
    <row r="156" spans="1:7" ht="19" thickBot="1" x14ac:dyDescent="0.4">
      <c r="A156" s="3" t="s">
        <v>7</v>
      </c>
      <c r="B156" s="3" t="s">
        <v>354</v>
      </c>
      <c r="C156" s="3" t="s">
        <v>342</v>
      </c>
      <c r="D156" s="5" t="s">
        <v>355</v>
      </c>
      <c r="E156" s="6"/>
      <c r="F156" s="10"/>
      <c r="G156" s="6"/>
    </row>
    <row r="157" spans="1:7" ht="19" thickBot="1" x14ac:dyDescent="0.4">
      <c r="A157" s="3" t="s">
        <v>7</v>
      </c>
      <c r="B157" s="3" t="s">
        <v>356</v>
      </c>
      <c r="C157" s="3" t="s">
        <v>342</v>
      </c>
      <c r="D157" s="5" t="s">
        <v>357</v>
      </c>
      <c r="E157" s="6"/>
      <c r="F157" s="10"/>
      <c r="G157" s="6"/>
    </row>
    <row r="158" spans="1:7" ht="19" thickBot="1" x14ac:dyDescent="0.4">
      <c r="A158" s="5" t="s">
        <v>7</v>
      </c>
      <c r="B158" s="5" t="s">
        <v>358</v>
      </c>
      <c r="C158" s="5" t="s">
        <v>342</v>
      </c>
      <c r="D158" s="5" t="s">
        <v>359</v>
      </c>
      <c r="E158" s="8">
        <v>45880</v>
      </c>
      <c r="F158" s="15">
        <v>45889</v>
      </c>
      <c r="G158" s="9"/>
    </row>
    <row r="159" spans="1:7" ht="19" thickBot="1" x14ac:dyDescent="0.4">
      <c r="A159" s="3" t="s">
        <v>7</v>
      </c>
      <c r="B159" s="3" t="s">
        <v>360</v>
      </c>
      <c r="C159" s="3" t="s">
        <v>342</v>
      </c>
      <c r="D159" s="5" t="s">
        <v>361</v>
      </c>
      <c r="E159" s="6"/>
      <c r="F159" s="10"/>
      <c r="G159" s="6"/>
    </row>
    <row r="160" spans="1:7" ht="19" thickBot="1" x14ac:dyDescent="0.4">
      <c r="A160" s="3" t="s">
        <v>7</v>
      </c>
      <c r="B160" s="3" t="s">
        <v>362</v>
      </c>
      <c r="C160" s="3" t="s">
        <v>342</v>
      </c>
      <c r="D160" s="5" t="s">
        <v>363</v>
      </c>
      <c r="E160" s="6"/>
      <c r="F160" s="10"/>
      <c r="G160" s="6"/>
    </row>
    <row r="161" spans="1:7" ht="19" thickBot="1" x14ac:dyDescent="0.4">
      <c r="A161" s="3" t="s">
        <v>7</v>
      </c>
      <c r="B161" s="3" t="s">
        <v>364</v>
      </c>
      <c r="C161" s="3" t="s">
        <v>342</v>
      </c>
      <c r="D161" s="5" t="s">
        <v>365</v>
      </c>
      <c r="E161" s="6"/>
      <c r="F161" s="10"/>
      <c r="G161" s="6"/>
    </row>
    <row r="162" spans="1:7" ht="19" thickBot="1" x14ac:dyDescent="0.4">
      <c r="A162" s="3" t="s">
        <v>7</v>
      </c>
      <c r="B162" s="3" t="s">
        <v>366</v>
      </c>
      <c r="C162" s="3" t="s">
        <v>342</v>
      </c>
      <c r="D162" s="5" t="s">
        <v>367</v>
      </c>
      <c r="E162" s="6"/>
      <c r="F162" s="10"/>
      <c r="G162" s="6"/>
    </row>
    <row r="163" spans="1:7" ht="19" thickBot="1" x14ac:dyDescent="0.5">
      <c r="A163" s="5" t="s">
        <v>7</v>
      </c>
      <c r="B163" s="5" t="s">
        <v>368</v>
      </c>
      <c r="C163" s="5" t="s">
        <v>342</v>
      </c>
      <c r="D163" s="5" t="s">
        <v>369</v>
      </c>
      <c r="E163" s="9"/>
      <c r="F163" s="31">
        <v>46086</v>
      </c>
      <c r="G163" s="9"/>
    </row>
    <row r="164" spans="1:7" ht="19" thickBot="1" x14ac:dyDescent="0.4">
      <c r="A164" s="3" t="s">
        <v>7</v>
      </c>
      <c r="B164" s="3" t="s">
        <v>370</v>
      </c>
      <c r="C164" s="3" t="s">
        <v>342</v>
      </c>
      <c r="D164" s="5" t="s">
        <v>371</v>
      </c>
      <c r="E164" s="6"/>
      <c r="F164" s="6"/>
      <c r="G164" s="6"/>
    </row>
  </sheetData>
  <autoFilter ref="A1:J164" xr:uid="{C340C1BB-7D0C-441C-8B18-AB32C8070473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5467-201F-4741-9070-43D92E185FDD}">
  <dimension ref="A1:I146"/>
  <sheetViews>
    <sheetView tabSelected="1" workbookViewId="0">
      <selection activeCell="E2" sqref="E2"/>
    </sheetView>
  </sheetViews>
  <sheetFormatPr baseColWidth="10" defaultRowHeight="14.5" x14ac:dyDescent="0.35"/>
  <cols>
    <col min="1" max="1" width="18.1796875" customWidth="1"/>
    <col min="2" max="2" width="18" bestFit="1" customWidth="1"/>
    <col min="3" max="3" width="27" bestFit="1" customWidth="1"/>
    <col min="4" max="5" width="23.26953125" customWidth="1"/>
    <col min="6" max="6" width="18.1796875" bestFit="1" customWidth="1"/>
    <col min="7" max="7" width="18.1796875" customWidth="1"/>
    <col min="8" max="8" width="27.26953125" customWidth="1"/>
    <col min="9" max="9" width="21.453125" bestFit="1" customWidth="1"/>
  </cols>
  <sheetData>
    <row r="1" spans="1:9" ht="19" thickBot="1" x14ac:dyDescent="0.4">
      <c r="A1" s="38" t="s">
        <v>0</v>
      </c>
      <c r="B1" s="38" t="s">
        <v>374</v>
      </c>
      <c r="C1" s="38" t="s">
        <v>2</v>
      </c>
      <c r="D1" s="38" t="s">
        <v>3</v>
      </c>
      <c r="E1" s="38" t="s">
        <v>796</v>
      </c>
      <c r="F1" s="38" t="s">
        <v>798</v>
      </c>
      <c r="G1" s="38" t="s">
        <v>795</v>
      </c>
      <c r="H1" s="38" t="s">
        <v>388</v>
      </c>
      <c r="I1" s="38" t="s">
        <v>395</v>
      </c>
    </row>
    <row r="2" spans="1:9" x14ac:dyDescent="0.35">
      <c r="A2" t="s">
        <v>7</v>
      </c>
      <c r="B2" t="s">
        <v>280</v>
      </c>
      <c r="C2" t="s">
        <v>387</v>
      </c>
      <c r="D2" t="s">
        <v>46</v>
      </c>
      <c r="E2" t="str">
        <f>RIGHT(Tabla1[[#This Row],[NUMERO DE SERIE ]],10)</f>
        <v>21069N007D</v>
      </c>
      <c r="F2" t="s">
        <v>799</v>
      </c>
      <c r="G2" t="str">
        <f>_xlfn.XLOOKUP(Tabla1[[#This Row],[SERIE]],'DATA IT'!D:D,'DATA IT'!G:G)</f>
        <v>RP4B</v>
      </c>
    </row>
    <row r="3" spans="1:9" x14ac:dyDescent="0.35">
      <c r="A3" t="s">
        <v>7</v>
      </c>
      <c r="B3" t="s">
        <v>414</v>
      </c>
      <c r="C3" t="s">
        <v>415</v>
      </c>
      <c r="D3" t="s">
        <v>231</v>
      </c>
      <c r="E3" t="str">
        <f>RIGHT(Tabla1[[#This Row],[NUMERO DE SERIE ]],10)</f>
        <v>21069N007E</v>
      </c>
      <c r="F3" t="s">
        <v>799</v>
      </c>
      <c r="G3" t="str">
        <f>_xlfn.XLOOKUP(Tabla1[[#This Row],[SERIE]],'DATA IT'!D:D,'DATA IT'!G:G)</f>
        <v>RP4B</v>
      </c>
      <c r="H3" t="s">
        <v>389</v>
      </c>
    </row>
    <row r="4" spans="1:9" x14ac:dyDescent="0.35">
      <c r="A4" t="s">
        <v>7</v>
      </c>
      <c r="B4" t="s">
        <v>210</v>
      </c>
      <c r="C4" t="s">
        <v>373</v>
      </c>
      <c r="D4" t="s">
        <v>316</v>
      </c>
      <c r="E4" t="str">
        <f>RIGHT(Tabla1[[#This Row],[NUMERO DE SERIE ]],10)</f>
        <v>21069N007F</v>
      </c>
      <c r="F4" t="s">
        <v>799</v>
      </c>
      <c r="G4" t="str">
        <f>_xlfn.XLOOKUP(Tabla1[[#This Row],[SERIE]],'DATA IT'!D:D,'DATA IT'!G:G)</f>
        <v>RP4B</v>
      </c>
    </row>
    <row r="5" spans="1:9" x14ac:dyDescent="0.35">
      <c r="A5" t="s">
        <v>7</v>
      </c>
      <c r="B5" t="s">
        <v>394</v>
      </c>
      <c r="C5" t="s">
        <v>387</v>
      </c>
      <c r="D5" t="s">
        <v>302</v>
      </c>
      <c r="E5" t="str">
        <f>RIGHT(Tabla1[[#This Row],[NUMERO DE SERIE ]],10)</f>
        <v>21069N0097</v>
      </c>
      <c r="F5" t="s">
        <v>799</v>
      </c>
      <c r="G5" t="str">
        <f>_xlfn.XLOOKUP(Tabla1[[#This Row],[SERIE]],'DATA IT'!D:D,'DATA IT'!G:G)</f>
        <v>RP4B</v>
      </c>
      <c r="H5" t="s">
        <v>389</v>
      </c>
    </row>
    <row r="6" spans="1:9" x14ac:dyDescent="0.35">
      <c r="A6" t="s">
        <v>7</v>
      </c>
      <c r="B6" t="s">
        <v>414</v>
      </c>
      <c r="C6" t="s">
        <v>415</v>
      </c>
      <c r="D6" s="49" t="s">
        <v>424</v>
      </c>
      <c r="E6" s="49" t="s">
        <v>453</v>
      </c>
      <c r="F6" t="s">
        <v>799</v>
      </c>
      <c r="G6" t="str">
        <f>_xlfn.XLOOKUP(Tabla1[[#This Row],[SERIE]],'DATA IT'!D:D,'DATA IT'!G:G)</f>
        <v>RP4B</v>
      </c>
      <c r="H6" t="s">
        <v>389</v>
      </c>
      <c r="I6" t="s">
        <v>423</v>
      </c>
    </row>
    <row r="7" spans="1:9" x14ac:dyDescent="0.35">
      <c r="A7" t="s">
        <v>7</v>
      </c>
      <c r="B7" t="s">
        <v>394</v>
      </c>
      <c r="C7" t="s">
        <v>387</v>
      </c>
      <c r="D7" t="s">
        <v>304</v>
      </c>
      <c r="E7" t="str">
        <f>RIGHT(Tabla1[[#This Row],[NUMERO DE SERIE ]],10)</f>
        <v>21069N0099</v>
      </c>
      <c r="F7" t="s">
        <v>799</v>
      </c>
      <c r="G7" t="str">
        <f>_xlfn.XLOOKUP(Tabla1[[#This Row],[SERIE]],'DATA IT'!D:D,'DATA IT'!G:G)</f>
        <v>RP4B</v>
      </c>
      <c r="H7" t="s">
        <v>389</v>
      </c>
    </row>
    <row r="8" spans="1:9" x14ac:dyDescent="0.35">
      <c r="A8" t="s">
        <v>7</v>
      </c>
      <c r="B8" t="s">
        <v>394</v>
      </c>
      <c r="C8" t="s">
        <v>387</v>
      </c>
      <c r="D8" t="s">
        <v>298</v>
      </c>
      <c r="E8" t="str">
        <f>RIGHT(Tabla1[[#This Row],[NUMERO DE SERIE ]],10)</f>
        <v>21069N009A</v>
      </c>
      <c r="F8" t="s">
        <v>799</v>
      </c>
      <c r="G8" t="str">
        <f>_xlfn.XLOOKUP(Tabla1[[#This Row],[SERIE]],'DATA IT'!D:D,'DATA IT'!G:G)</f>
        <v>RP4B</v>
      </c>
      <c r="H8" t="s">
        <v>389</v>
      </c>
    </row>
    <row r="9" spans="1:9" x14ac:dyDescent="0.35">
      <c r="A9" t="s">
        <v>7</v>
      </c>
      <c r="B9" t="s">
        <v>414</v>
      </c>
      <c r="C9" t="s">
        <v>415</v>
      </c>
      <c r="D9" t="s">
        <v>296</v>
      </c>
      <c r="E9" t="str">
        <f>RIGHT(Tabla1[[#This Row],[NUMERO DE SERIE ]],10)</f>
        <v>21069N0874</v>
      </c>
      <c r="F9" t="s">
        <v>799</v>
      </c>
      <c r="G9" t="str">
        <f>_xlfn.XLOOKUP(Tabla1[[#This Row],[SERIE]],'DATA IT'!D:D,'DATA IT'!G:G)</f>
        <v>RP4B</v>
      </c>
      <c r="H9" t="s">
        <v>389</v>
      </c>
    </row>
    <row r="10" spans="1:9" x14ac:dyDescent="0.35">
      <c r="A10" t="s">
        <v>7</v>
      </c>
      <c r="B10" t="s">
        <v>414</v>
      </c>
      <c r="C10" t="s">
        <v>415</v>
      </c>
      <c r="D10" t="s">
        <v>180</v>
      </c>
      <c r="E10" t="str">
        <f>RIGHT(Tabla1[[#This Row],[NUMERO DE SERIE ]],10)</f>
        <v>21069N087E</v>
      </c>
      <c r="F10" t="s">
        <v>799</v>
      </c>
      <c r="G10" t="str">
        <f>_xlfn.XLOOKUP(Tabla1[[#This Row],[SERIE]],'DATA IT'!D:D,'DATA IT'!G:G)</f>
        <v>RP4B</v>
      </c>
      <c r="H10" t="s">
        <v>389</v>
      </c>
    </row>
    <row r="11" spans="1:9" x14ac:dyDescent="0.35">
      <c r="A11" t="s">
        <v>7</v>
      </c>
      <c r="B11" t="s">
        <v>370</v>
      </c>
      <c r="C11" t="s">
        <v>384</v>
      </c>
      <c r="D11" t="s">
        <v>371</v>
      </c>
      <c r="E11" t="str">
        <f>RIGHT(Tabla1[[#This Row],[NUMERO DE SERIE ]],10)</f>
        <v>21069N0882</v>
      </c>
      <c r="F11" t="s">
        <v>799</v>
      </c>
      <c r="G11" t="str">
        <f>_xlfn.XLOOKUP(Tabla1[[#This Row],[SERIE]],'DATA IT'!D:D,'DATA IT'!G:G)</f>
        <v>RP4B</v>
      </c>
    </row>
    <row r="12" spans="1:9" x14ac:dyDescent="0.35">
      <c r="A12" t="s">
        <v>7</v>
      </c>
      <c r="B12" t="s">
        <v>240</v>
      </c>
      <c r="C12" t="s">
        <v>373</v>
      </c>
      <c r="D12" t="s">
        <v>385</v>
      </c>
      <c r="E12" t="str">
        <f>RIGHT(Tabla1[[#This Row],[NUMERO DE SERIE ]],10)</f>
        <v>21069N0896</v>
      </c>
      <c r="F12" t="s">
        <v>799</v>
      </c>
      <c r="G12" t="str">
        <f>_xlfn.XLOOKUP(Tabla1[[#This Row],[SERIE]],'DATA IT'!D:D,'DATA IT'!G:G)</f>
        <v>RP4B</v>
      </c>
    </row>
    <row r="13" spans="1:9" x14ac:dyDescent="0.35">
      <c r="A13" t="s">
        <v>7</v>
      </c>
      <c r="B13" t="s">
        <v>414</v>
      </c>
      <c r="C13" t="s">
        <v>415</v>
      </c>
      <c r="D13" t="s">
        <v>222</v>
      </c>
      <c r="E13" t="str">
        <f>RIGHT(Tabla1[[#This Row],[NUMERO DE SERIE ]],10)</f>
        <v>21069N089D</v>
      </c>
      <c r="F13" t="s">
        <v>799</v>
      </c>
      <c r="G13" t="str">
        <f>_xlfn.XLOOKUP(Tabla1[[#This Row],[SERIE]],'DATA IT'!D:D,'DATA IT'!G:G)</f>
        <v>RP4B</v>
      </c>
      <c r="H13" t="s">
        <v>389</v>
      </c>
    </row>
    <row r="14" spans="1:9" x14ac:dyDescent="0.35">
      <c r="A14" t="s">
        <v>7</v>
      </c>
      <c r="B14" t="s">
        <v>414</v>
      </c>
      <c r="C14" t="s">
        <v>415</v>
      </c>
      <c r="D14" t="s">
        <v>108</v>
      </c>
      <c r="E14" t="str">
        <f>RIGHT(Tabla1[[#This Row],[NUMERO DE SERIE ]],10)</f>
        <v>21069N08B7</v>
      </c>
      <c r="F14" t="s">
        <v>799</v>
      </c>
      <c r="G14" t="str">
        <f>_xlfn.XLOOKUP(Tabla1[[#This Row],[SERIE]],'DATA IT'!D:D,'DATA IT'!G:G)</f>
        <v>RP4B</v>
      </c>
      <c r="H14" t="s">
        <v>389</v>
      </c>
    </row>
    <row r="15" spans="1:9" x14ac:dyDescent="0.35">
      <c r="A15" t="s">
        <v>7</v>
      </c>
      <c r="B15" t="s">
        <v>414</v>
      </c>
      <c r="C15" t="s">
        <v>415</v>
      </c>
      <c r="D15" t="s">
        <v>72</v>
      </c>
      <c r="E15" t="str">
        <f>RIGHT(Tabla1[[#This Row],[NUMERO DE SERIE ]],10)</f>
        <v>21070N020A</v>
      </c>
      <c r="F15" t="s">
        <v>799</v>
      </c>
      <c r="G15" t="str">
        <f>_xlfn.XLOOKUP(Tabla1[[#This Row],[SERIE]],'DATA IT'!D:D,'DATA IT'!G:G)</f>
        <v>RP4B</v>
      </c>
      <c r="H15" t="s">
        <v>389</v>
      </c>
      <c r="I15" t="s">
        <v>423</v>
      </c>
    </row>
    <row r="16" spans="1:9" x14ac:dyDescent="0.35">
      <c r="A16" t="s">
        <v>7</v>
      </c>
      <c r="B16" t="s">
        <v>315</v>
      </c>
      <c r="C16" t="s">
        <v>383</v>
      </c>
      <c r="D16" t="s">
        <v>53</v>
      </c>
      <c r="E16" t="str">
        <f>RIGHT(Tabla1[[#This Row],[NUMERO DE SERIE ]],10)</f>
        <v>21070N0211</v>
      </c>
      <c r="F16" t="s">
        <v>799</v>
      </c>
      <c r="G16" t="str">
        <f>_xlfn.XLOOKUP(Tabla1[[#This Row],[SERIE]],'DATA IT'!D:D,'DATA IT'!G:G)</f>
        <v>RP4B</v>
      </c>
    </row>
    <row r="17" spans="1:9" x14ac:dyDescent="0.35">
      <c r="A17" t="s">
        <v>7</v>
      </c>
      <c r="B17" t="s">
        <v>372</v>
      </c>
      <c r="C17" t="s">
        <v>373</v>
      </c>
      <c r="D17" t="s">
        <v>207</v>
      </c>
      <c r="E17" t="str">
        <f>RIGHT(Tabla1[[#This Row],[NUMERO DE SERIE ]],10)</f>
        <v>21070N0212</v>
      </c>
      <c r="F17" t="s">
        <v>799</v>
      </c>
      <c r="G17" t="str">
        <f>_xlfn.XLOOKUP(Tabla1[[#This Row],[SERIE]],'DATA IT'!D:D,'DATA IT'!G:G)</f>
        <v>RP4B</v>
      </c>
    </row>
    <row r="18" spans="1:9" x14ac:dyDescent="0.35">
      <c r="A18" t="s">
        <v>7</v>
      </c>
      <c r="B18" t="s">
        <v>414</v>
      </c>
      <c r="C18" t="s">
        <v>415</v>
      </c>
      <c r="D18" t="s">
        <v>418</v>
      </c>
      <c r="E18" t="str">
        <f>RIGHT(Tabla1[[#This Row],[NUMERO DE SERIE ]],10)</f>
        <v>21076N09A9</v>
      </c>
      <c r="F18" t="s">
        <v>799</v>
      </c>
      <c r="G18" t="str">
        <f>_xlfn.XLOOKUP(Tabla1[[#This Row],[SERIE]],'DATA IT'!D:D,'DATA IT'!G:G)</f>
        <v>RP4B</v>
      </c>
      <c r="H18" t="s">
        <v>389</v>
      </c>
    </row>
    <row r="19" spans="1:9" x14ac:dyDescent="0.35">
      <c r="A19" t="s">
        <v>7</v>
      </c>
      <c r="B19" t="s">
        <v>293</v>
      </c>
      <c r="C19" t="s">
        <v>387</v>
      </c>
      <c r="D19" t="s">
        <v>271</v>
      </c>
      <c r="E19" t="str">
        <f>RIGHT(Tabla1[[#This Row],[NUMERO DE SERIE ]],10)</f>
        <v>21076N09B0</v>
      </c>
      <c r="F19" t="s">
        <v>799</v>
      </c>
      <c r="G19" t="str">
        <f>_xlfn.XLOOKUP(Tabla1[[#This Row],[SERIE]],'DATA IT'!D:D,'DATA IT'!G:G)</f>
        <v>RP4B</v>
      </c>
      <c r="H19" t="s">
        <v>389</v>
      </c>
    </row>
    <row r="20" spans="1:9" x14ac:dyDescent="0.35">
      <c r="A20" t="s">
        <v>7</v>
      </c>
      <c r="B20" t="s">
        <v>376</v>
      </c>
      <c r="C20" t="s">
        <v>382</v>
      </c>
      <c r="D20" t="s">
        <v>330</v>
      </c>
      <c r="E20" t="str">
        <f>RIGHT(Tabla1[[#This Row],[NUMERO DE SERIE ]],10)</f>
        <v>21076N09B1</v>
      </c>
      <c r="F20" t="s">
        <v>799</v>
      </c>
      <c r="G20" t="str">
        <f>_xlfn.XLOOKUP(Tabla1[[#This Row],[SERIE]],'DATA IT'!D:D,'DATA IT'!G:G)</f>
        <v>RP4B</v>
      </c>
    </row>
    <row r="21" spans="1:9" x14ac:dyDescent="0.35">
      <c r="A21" t="s">
        <v>7</v>
      </c>
      <c r="B21" t="s">
        <v>73</v>
      </c>
      <c r="C21" t="s">
        <v>382</v>
      </c>
      <c r="D21" t="s">
        <v>211</v>
      </c>
      <c r="E21" t="str">
        <f>RIGHT(Tabla1[[#This Row],[NUMERO DE SERIE ]],10)</f>
        <v>21076N09B5</v>
      </c>
      <c r="F21" t="s">
        <v>799</v>
      </c>
      <c r="G21" t="str">
        <f>_xlfn.XLOOKUP(Tabla1[[#This Row],[SERIE]],'DATA IT'!D:D,'DATA IT'!G:G)</f>
        <v>RP4B</v>
      </c>
    </row>
    <row r="22" spans="1:9" x14ac:dyDescent="0.35">
      <c r="A22" t="s">
        <v>7</v>
      </c>
      <c r="B22" t="s">
        <v>414</v>
      </c>
      <c r="C22" t="s">
        <v>415</v>
      </c>
      <c r="D22" t="s">
        <v>200</v>
      </c>
      <c r="E22" t="str">
        <f>RIGHT(Tabla1[[#This Row],[NUMERO DE SERIE ]],10)</f>
        <v>21076N09B6</v>
      </c>
      <c r="F22" t="s">
        <v>799</v>
      </c>
      <c r="G22" t="str">
        <f>_xlfn.XLOOKUP(Tabla1[[#This Row],[SERIE]],'DATA IT'!D:D,'DATA IT'!G:G)</f>
        <v>RP4B</v>
      </c>
      <c r="H22" t="s">
        <v>389</v>
      </c>
    </row>
    <row r="23" spans="1:9" x14ac:dyDescent="0.35">
      <c r="A23" t="s">
        <v>7</v>
      </c>
      <c r="B23" t="s">
        <v>414</v>
      </c>
      <c r="C23" t="s">
        <v>415</v>
      </c>
      <c r="D23" t="s">
        <v>416</v>
      </c>
      <c r="E23" t="str">
        <f>RIGHT(Tabla1[[#This Row],[NUMERO DE SERIE ]],10)</f>
        <v>21076N09C3</v>
      </c>
      <c r="F23" t="s">
        <v>799</v>
      </c>
      <c r="G23" t="str">
        <f>_xlfn.XLOOKUP(Tabla1[[#This Row],[SERIE]],'DATA IT'!D:D,'DATA IT'!G:G)</f>
        <v>RP4B</v>
      </c>
      <c r="H23" t="s">
        <v>389</v>
      </c>
    </row>
    <row r="24" spans="1:9" x14ac:dyDescent="0.35">
      <c r="A24" t="s">
        <v>7</v>
      </c>
      <c r="B24" t="s">
        <v>214</v>
      </c>
      <c r="C24" t="s">
        <v>384</v>
      </c>
      <c r="D24" t="s">
        <v>152</v>
      </c>
      <c r="E24" t="str">
        <f>RIGHT(Tabla1[[#This Row],[NUMERO DE SERIE ]],10)</f>
        <v>21076N09C4</v>
      </c>
      <c r="F24" t="s">
        <v>799</v>
      </c>
      <c r="G24" t="str">
        <f>_xlfn.XLOOKUP(Tabla1[[#This Row],[SERIE]],'DATA IT'!D:D,'DATA IT'!G:G)</f>
        <v>RP4B</v>
      </c>
      <c r="I24" t="s">
        <v>413</v>
      </c>
    </row>
    <row r="25" spans="1:9" x14ac:dyDescent="0.35">
      <c r="A25" t="s">
        <v>417</v>
      </c>
      <c r="B25" t="s">
        <v>414</v>
      </c>
      <c r="C25" t="s">
        <v>415</v>
      </c>
      <c r="D25" t="s">
        <v>417</v>
      </c>
      <c r="E25" t="str">
        <f>RIGHT(Tabla1[[#This Row],[NUMERO DE SERIE ]],10)</f>
        <v>N/D</v>
      </c>
      <c r="G25" t="e">
        <f>_xlfn.XLOOKUP(Tabla1[[#This Row],[SERIE]],'DATA IT'!D:D,'DATA IT'!G:G)</f>
        <v>#N/A</v>
      </c>
      <c r="H25" t="s">
        <v>389</v>
      </c>
    </row>
    <row r="26" spans="1:9" x14ac:dyDescent="0.35">
      <c r="A26" t="s">
        <v>417</v>
      </c>
      <c r="B26" t="s">
        <v>414</v>
      </c>
      <c r="C26" t="s">
        <v>415</v>
      </c>
      <c r="D26" t="s">
        <v>417</v>
      </c>
      <c r="E26" t="str">
        <f>RIGHT(Tabla1[[#This Row],[NUMERO DE SERIE ]],10)</f>
        <v>N/D</v>
      </c>
      <c r="G26" t="e">
        <f>_xlfn.XLOOKUP(Tabla1[[#This Row],[SERIE]],'DATA IT'!D:D,'DATA IT'!G:G)</f>
        <v>#N/A</v>
      </c>
      <c r="H26" t="s">
        <v>389</v>
      </c>
    </row>
    <row r="27" spans="1:9" x14ac:dyDescent="0.35">
      <c r="A27" t="s">
        <v>7</v>
      </c>
      <c r="B27" t="s">
        <v>206</v>
      </c>
      <c r="C27" t="s">
        <v>382</v>
      </c>
      <c r="D27" t="s">
        <v>169</v>
      </c>
      <c r="E27" t="str">
        <f>RIGHT(Tabla1[[#This Row],[NUMERO DE SERIE ]],10)</f>
        <v>21076N09C8</v>
      </c>
      <c r="F27" t="s">
        <v>799</v>
      </c>
      <c r="G27" t="str">
        <f>_xlfn.XLOOKUP(Tabla1[[#This Row],[SERIE]],'DATA IT'!D:D,'DATA IT'!G:G)</f>
        <v>RP4B</v>
      </c>
    </row>
    <row r="28" spans="1:9" x14ac:dyDescent="0.35">
      <c r="A28" t="s">
        <v>7</v>
      </c>
      <c r="B28" t="s">
        <v>354</v>
      </c>
      <c r="C28" t="s">
        <v>384</v>
      </c>
      <c r="D28" t="s">
        <v>355</v>
      </c>
      <c r="E28" t="str">
        <f>RIGHT(Tabla1[[#This Row],[NUMERO DE SERIE ]],10)</f>
        <v>21076N0B1C</v>
      </c>
      <c r="F28" t="s">
        <v>799</v>
      </c>
      <c r="G28" t="str">
        <f>_xlfn.XLOOKUP(Tabla1[[#This Row],[SERIE]],'DATA IT'!D:D,'DATA IT'!G:G)</f>
        <v>RP4B</v>
      </c>
    </row>
    <row r="29" spans="1:9" x14ac:dyDescent="0.35">
      <c r="A29" t="s">
        <v>7</v>
      </c>
      <c r="B29" t="s">
        <v>103</v>
      </c>
      <c r="C29" t="s">
        <v>384</v>
      </c>
      <c r="D29" t="s">
        <v>174</v>
      </c>
      <c r="E29" t="str">
        <f>RIGHT(Tabla1[[#This Row],[NUMERO DE SERIE ]],10)</f>
        <v>21076N0B1E</v>
      </c>
      <c r="F29" t="s">
        <v>799</v>
      </c>
      <c r="G29" t="str">
        <f>_xlfn.XLOOKUP(Tabla1[[#This Row],[SERIE]],'DATA IT'!D:D,'DATA IT'!G:G)</f>
        <v>RP4B</v>
      </c>
    </row>
    <row r="30" spans="1:9" x14ac:dyDescent="0.35">
      <c r="A30" t="s">
        <v>7</v>
      </c>
      <c r="B30" t="s">
        <v>230</v>
      </c>
      <c r="C30" t="s">
        <v>373</v>
      </c>
      <c r="D30" t="s">
        <v>63</v>
      </c>
      <c r="E30" t="str">
        <f>RIGHT(Tabla1[[#This Row],[NUMERO DE SERIE ]],10)</f>
        <v>21076N0B1F</v>
      </c>
      <c r="F30" t="s">
        <v>799</v>
      </c>
      <c r="G30" t="str">
        <f>_xlfn.XLOOKUP(Tabla1[[#This Row],[SERIE]],'DATA IT'!D:D,'DATA IT'!G:G)</f>
        <v>RP4B</v>
      </c>
    </row>
    <row r="31" spans="1:9" x14ac:dyDescent="0.35">
      <c r="A31" t="s">
        <v>7</v>
      </c>
      <c r="B31" t="s">
        <v>352</v>
      </c>
      <c r="C31" t="s">
        <v>384</v>
      </c>
      <c r="D31" t="s">
        <v>353</v>
      </c>
      <c r="E31" t="str">
        <f>RIGHT(Tabla1[[#This Row],[NUMERO DE SERIE ]],10)</f>
        <v>21076N0B20</v>
      </c>
      <c r="F31" t="s">
        <v>799</v>
      </c>
      <c r="G31" t="str">
        <f>_xlfn.XLOOKUP(Tabla1[[#This Row],[SERIE]],'DATA IT'!D:D,'DATA IT'!G:G)</f>
        <v>RP4B</v>
      </c>
    </row>
    <row r="32" spans="1:9" x14ac:dyDescent="0.35">
      <c r="A32" t="s">
        <v>7</v>
      </c>
      <c r="B32" t="s">
        <v>162</v>
      </c>
      <c r="C32" t="s">
        <v>383</v>
      </c>
      <c r="D32" t="s">
        <v>326</v>
      </c>
      <c r="E32" t="str">
        <f>RIGHT(Tabla1[[#This Row],[NUMERO DE SERIE ]],10)</f>
        <v>21076N0B32</v>
      </c>
      <c r="F32" t="s">
        <v>799</v>
      </c>
      <c r="G32" t="str">
        <f>_xlfn.XLOOKUP(Tabla1[[#This Row],[SERIE]],'DATA IT'!D:D,'DATA IT'!G:G)</f>
        <v>RP4B</v>
      </c>
    </row>
    <row r="33" spans="1:8" x14ac:dyDescent="0.35">
      <c r="A33" t="s">
        <v>7</v>
      </c>
      <c r="B33" t="s">
        <v>226</v>
      </c>
      <c r="C33" t="s">
        <v>373</v>
      </c>
      <c r="D33" t="s">
        <v>241</v>
      </c>
      <c r="E33" t="str">
        <f>RIGHT(Tabla1[[#This Row],[NUMERO DE SERIE ]],10)</f>
        <v>21076N0B34</v>
      </c>
      <c r="F33" t="s">
        <v>799</v>
      </c>
      <c r="G33" t="str">
        <f>_xlfn.XLOOKUP(Tabla1[[#This Row],[SERIE]],'DATA IT'!D:D,'DATA IT'!G:G)</f>
        <v>RP4B</v>
      </c>
    </row>
    <row r="34" spans="1:8" x14ac:dyDescent="0.35">
      <c r="A34" t="s">
        <v>7</v>
      </c>
      <c r="B34" t="s">
        <v>364</v>
      </c>
      <c r="C34" t="s">
        <v>384</v>
      </c>
      <c r="D34" t="s">
        <v>365</v>
      </c>
      <c r="E34" t="str">
        <f>RIGHT(Tabla1[[#This Row],[NUMERO DE SERIE ]],10)</f>
        <v>21076N0B36</v>
      </c>
      <c r="F34" t="s">
        <v>799</v>
      </c>
      <c r="G34" t="str">
        <f>_xlfn.XLOOKUP(Tabla1[[#This Row],[SERIE]],'DATA IT'!D:D,'DATA IT'!G:G)</f>
        <v>RP4B</v>
      </c>
    </row>
    <row r="35" spans="1:8" x14ac:dyDescent="0.35">
      <c r="A35" t="s">
        <v>7</v>
      </c>
      <c r="B35" t="s">
        <v>242</v>
      </c>
      <c r="C35" t="s">
        <v>373</v>
      </c>
      <c r="D35" t="s">
        <v>235</v>
      </c>
      <c r="E35" t="str">
        <f>RIGHT(Tabla1[[#This Row],[NUMERO DE SERIE ]],10)</f>
        <v>21076N0B39</v>
      </c>
      <c r="F35" t="s">
        <v>799</v>
      </c>
      <c r="G35" t="str">
        <f>_xlfn.XLOOKUP(Tabla1[[#This Row],[SERIE]],'DATA IT'!D:D,'DATA IT'!G:G)</f>
        <v>RP4B</v>
      </c>
    </row>
    <row r="36" spans="1:8" x14ac:dyDescent="0.35">
      <c r="A36" t="s">
        <v>7</v>
      </c>
      <c r="B36" t="s">
        <v>244</v>
      </c>
      <c r="C36" t="s">
        <v>373</v>
      </c>
      <c r="D36" t="s">
        <v>26</v>
      </c>
      <c r="E36" t="str">
        <f>RIGHT(Tabla1[[#This Row],[NUMERO DE SERIE ]],10)</f>
        <v>21076N0B3A</v>
      </c>
      <c r="F36" t="s">
        <v>799</v>
      </c>
      <c r="G36" t="str">
        <f>_xlfn.XLOOKUP(Tabla1[[#This Row],[SERIE]],'DATA IT'!D:D,'DATA IT'!G:G)</f>
        <v>RP4B</v>
      </c>
    </row>
    <row r="37" spans="1:8" x14ac:dyDescent="0.35">
      <c r="A37" t="s">
        <v>7</v>
      </c>
      <c r="B37" t="s">
        <v>107</v>
      </c>
      <c r="C37" t="s">
        <v>384</v>
      </c>
      <c r="D37" t="s">
        <v>409</v>
      </c>
      <c r="E37" t="str">
        <f>RIGHT(Tabla1[[#This Row],[NUMERO DE SERIE ]],10)</f>
        <v>21076N0B3C</v>
      </c>
      <c r="F37" t="s">
        <v>799</v>
      </c>
      <c r="G37" t="str">
        <f>_xlfn.XLOOKUP(Tabla1[[#This Row],[SERIE]],'DATA IT'!D:D,'DATA IT'!G:G)</f>
        <v>RP4B</v>
      </c>
    </row>
    <row r="38" spans="1:8" x14ac:dyDescent="0.35">
      <c r="A38" t="s">
        <v>7</v>
      </c>
      <c r="B38" t="s">
        <v>82</v>
      </c>
      <c r="C38" t="s">
        <v>382</v>
      </c>
      <c r="D38" t="s">
        <v>115</v>
      </c>
      <c r="E38" t="str">
        <f>RIGHT(Tabla1[[#This Row],[NUMERO DE SERIE ]],10)</f>
        <v>21076N0B44</v>
      </c>
      <c r="F38" t="s">
        <v>799</v>
      </c>
      <c r="G38" t="str">
        <f>_xlfn.XLOOKUP(Tabla1[[#This Row],[SERIE]],'DATA IT'!D:D,'DATA IT'!G:G)</f>
        <v>RP4B</v>
      </c>
    </row>
    <row r="39" spans="1:8" x14ac:dyDescent="0.35">
      <c r="A39" t="s">
        <v>417</v>
      </c>
      <c r="B39" t="s">
        <v>414</v>
      </c>
      <c r="C39" t="s">
        <v>415</v>
      </c>
      <c r="D39" t="s">
        <v>417</v>
      </c>
      <c r="E39" t="str">
        <f>RIGHT(Tabla1[[#This Row],[NUMERO DE SERIE ]],10)</f>
        <v>N/D</v>
      </c>
      <c r="G39" t="e">
        <f>_xlfn.XLOOKUP(Tabla1[[#This Row],[SERIE]],'DATA IT'!D:D,'DATA IT'!G:G)</f>
        <v>#N/A</v>
      </c>
      <c r="H39" t="s">
        <v>389</v>
      </c>
    </row>
    <row r="40" spans="1:8" x14ac:dyDescent="0.35">
      <c r="A40" t="s">
        <v>7</v>
      </c>
      <c r="B40" t="s">
        <v>377</v>
      </c>
      <c r="C40" t="s">
        <v>383</v>
      </c>
      <c r="D40" t="s">
        <v>167</v>
      </c>
      <c r="E40" t="str">
        <f>RIGHT(Tabla1[[#This Row],[NUMERO DE SERIE ]],10)</f>
        <v>21076N0B45</v>
      </c>
      <c r="F40" t="s">
        <v>799</v>
      </c>
      <c r="G40" t="str">
        <f>_xlfn.XLOOKUP(Tabla1[[#This Row],[SERIE]],'DATA IT'!D:D,'DATA IT'!G:G)</f>
        <v>RP4B</v>
      </c>
      <c r="H40" t="s">
        <v>389</v>
      </c>
    </row>
    <row r="41" spans="1:8" x14ac:dyDescent="0.35">
      <c r="A41" t="s">
        <v>7</v>
      </c>
      <c r="B41" t="s">
        <v>236</v>
      </c>
      <c r="C41" t="s">
        <v>373</v>
      </c>
      <c r="D41" t="s">
        <v>237</v>
      </c>
      <c r="E41" t="str">
        <f>RIGHT(Tabla1[[#This Row],[NUMERO DE SERIE ]],10)</f>
        <v>21076N0B46</v>
      </c>
      <c r="F41" t="s">
        <v>799</v>
      </c>
      <c r="G41" t="str">
        <f>_xlfn.XLOOKUP(Tabla1[[#This Row],[SERIE]],'DATA IT'!D:D,'DATA IT'!G:G)</f>
        <v>RP4B</v>
      </c>
    </row>
    <row r="42" spans="1:8" x14ac:dyDescent="0.35">
      <c r="A42" t="s">
        <v>7</v>
      </c>
      <c r="B42" t="s">
        <v>112</v>
      </c>
      <c r="C42" t="s">
        <v>373</v>
      </c>
      <c r="D42" t="s">
        <v>113</v>
      </c>
      <c r="E42" t="str">
        <f>RIGHT(Tabla1[[#This Row],[NUMERO DE SERIE ]],10)</f>
        <v>21076N0B47</v>
      </c>
      <c r="F42" t="s">
        <v>799</v>
      </c>
      <c r="G42" t="str">
        <f>_xlfn.XLOOKUP(Tabla1[[#This Row],[SERIE]],'DATA IT'!D:D,'DATA IT'!G:G)</f>
        <v>RP4B</v>
      </c>
    </row>
    <row r="43" spans="1:8" x14ac:dyDescent="0.35">
      <c r="A43" t="s">
        <v>7</v>
      </c>
      <c r="B43" t="s">
        <v>394</v>
      </c>
      <c r="C43" t="s">
        <v>387</v>
      </c>
      <c r="D43" t="s">
        <v>261</v>
      </c>
      <c r="E43" t="str">
        <f>RIGHT(Tabla1[[#This Row],[NUMERO DE SERIE ]],10)</f>
        <v>21076N0B48</v>
      </c>
      <c r="F43" t="s">
        <v>799</v>
      </c>
      <c r="G43" t="str">
        <f>_xlfn.XLOOKUP(Tabla1[[#This Row],[SERIE]],'DATA IT'!D:D,'DATA IT'!G:G)</f>
        <v>RP4B</v>
      </c>
      <c r="H43" t="s">
        <v>389</v>
      </c>
    </row>
    <row r="44" spans="1:8" x14ac:dyDescent="0.35">
      <c r="A44" t="s">
        <v>7</v>
      </c>
      <c r="B44" t="s">
        <v>262</v>
      </c>
      <c r="C44" t="s">
        <v>387</v>
      </c>
      <c r="D44" t="s">
        <v>263</v>
      </c>
      <c r="E44" t="str">
        <f>RIGHT(Tabla1[[#This Row],[NUMERO DE SERIE ]],10)</f>
        <v>21076N0B49</v>
      </c>
      <c r="F44" t="s">
        <v>799</v>
      </c>
      <c r="G44" t="str">
        <f>_xlfn.XLOOKUP(Tabla1[[#This Row],[SERIE]],'DATA IT'!D:D,'DATA IT'!G:G)</f>
        <v>RP4B</v>
      </c>
    </row>
    <row r="45" spans="1:8" x14ac:dyDescent="0.35">
      <c r="A45" t="s">
        <v>7</v>
      </c>
      <c r="B45" t="s">
        <v>86</v>
      </c>
      <c r="C45" t="s">
        <v>382</v>
      </c>
      <c r="D45" t="s">
        <v>28</v>
      </c>
      <c r="E45" t="str">
        <f>RIGHT(Tabla1[[#This Row],[NUMERO DE SERIE ]],10)</f>
        <v>21076N0B4A</v>
      </c>
      <c r="F45" t="s">
        <v>799</v>
      </c>
      <c r="G45" t="str">
        <f>_xlfn.XLOOKUP(Tabla1[[#This Row],[SERIE]],'DATA IT'!D:D,'DATA IT'!G:G)</f>
        <v>RP4B</v>
      </c>
    </row>
    <row r="46" spans="1:8" x14ac:dyDescent="0.35">
      <c r="A46" t="s">
        <v>7</v>
      </c>
      <c r="B46" t="s">
        <v>319</v>
      </c>
      <c r="C46" t="s">
        <v>383</v>
      </c>
      <c r="D46" t="s">
        <v>119</v>
      </c>
      <c r="E46" t="str">
        <f>RIGHT(Tabla1[[#This Row],[NUMERO DE SERIE ]],10)</f>
        <v>21076N0B56</v>
      </c>
      <c r="F46" t="s">
        <v>799</v>
      </c>
      <c r="G46" t="str">
        <f>_xlfn.XLOOKUP(Tabla1[[#This Row],[SERIE]],'DATA IT'!D:D,'DATA IT'!G:G)</f>
        <v>RP4B</v>
      </c>
    </row>
    <row r="47" spans="1:8" x14ac:dyDescent="0.35">
      <c r="A47" t="s">
        <v>7</v>
      </c>
      <c r="B47" t="s">
        <v>268</v>
      </c>
      <c r="C47" t="s">
        <v>387</v>
      </c>
      <c r="D47" t="s">
        <v>269</v>
      </c>
      <c r="E47" t="str">
        <f>RIGHT(Tabla1[[#This Row],[NUMERO DE SERIE ]],10)</f>
        <v>21076N0B59</v>
      </c>
      <c r="F47" t="s">
        <v>799</v>
      </c>
      <c r="G47" t="str">
        <f>_xlfn.XLOOKUP(Tabla1[[#This Row],[SERIE]],'DATA IT'!D:D,'DATA IT'!G:G)</f>
        <v>RP4B</v>
      </c>
    </row>
    <row r="48" spans="1:8" x14ac:dyDescent="0.35">
      <c r="A48" t="s">
        <v>7</v>
      </c>
      <c r="B48" t="s">
        <v>264</v>
      </c>
      <c r="C48" t="s">
        <v>387</v>
      </c>
      <c r="D48" t="s">
        <v>265</v>
      </c>
      <c r="E48" t="str">
        <f>RIGHT(Tabla1[[#This Row],[NUMERO DE SERIE ]],10)</f>
        <v>21076N0B5A</v>
      </c>
      <c r="F48" t="s">
        <v>799</v>
      </c>
      <c r="G48" t="str">
        <f>_xlfn.XLOOKUP(Tabla1[[#This Row],[SERIE]],'DATA IT'!D:D,'DATA IT'!G:G)</f>
        <v>RP4B</v>
      </c>
    </row>
    <row r="49" spans="1:8" x14ac:dyDescent="0.35">
      <c r="A49" t="s">
        <v>7</v>
      </c>
      <c r="B49" t="s">
        <v>266</v>
      </c>
      <c r="C49" t="s">
        <v>387</v>
      </c>
      <c r="D49" t="s">
        <v>267</v>
      </c>
      <c r="E49" t="str">
        <f>RIGHT(Tabla1[[#This Row],[NUMERO DE SERIE ]],10)</f>
        <v>21076N0B5B</v>
      </c>
      <c r="F49" t="s">
        <v>799</v>
      </c>
      <c r="G49" t="str">
        <f>_xlfn.XLOOKUP(Tabla1[[#This Row],[SERIE]],'DATA IT'!D:D,'DATA IT'!G:G)</f>
        <v>RP4B</v>
      </c>
    </row>
    <row r="50" spans="1:8" x14ac:dyDescent="0.35">
      <c r="A50" t="s">
        <v>7</v>
      </c>
      <c r="B50" t="s">
        <v>414</v>
      </c>
      <c r="C50" t="s">
        <v>415</v>
      </c>
      <c r="D50" t="s">
        <v>74</v>
      </c>
      <c r="E50" t="str">
        <f>RIGHT(Tabla1[[#This Row],[NUMERO DE SERIE ]],10)</f>
        <v>21076N0B5C</v>
      </c>
      <c r="F50" t="s">
        <v>799</v>
      </c>
      <c r="G50" t="str">
        <f>_xlfn.XLOOKUP(Tabla1[[#This Row],[SERIE]],'DATA IT'!D:D,'DATA IT'!G:G)</f>
        <v>RP4B</v>
      </c>
      <c r="H50" t="s">
        <v>389</v>
      </c>
    </row>
    <row r="51" spans="1:8" x14ac:dyDescent="0.35">
      <c r="A51" t="s">
        <v>7</v>
      </c>
      <c r="B51" t="s">
        <v>57</v>
      </c>
      <c r="C51" t="s">
        <v>382</v>
      </c>
      <c r="D51" t="s">
        <v>196</v>
      </c>
      <c r="E51" t="str">
        <f>RIGHT(Tabla1[[#This Row],[NUMERO DE SERIE ]],10)</f>
        <v>21076N0B5F</v>
      </c>
      <c r="F51" t="s">
        <v>799</v>
      </c>
      <c r="G51" t="str">
        <f>_xlfn.XLOOKUP(Tabla1[[#This Row],[SERIE]],'DATA IT'!D:D,'DATA IT'!G:G)</f>
        <v>RP4B</v>
      </c>
    </row>
    <row r="52" spans="1:8" x14ac:dyDescent="0.35">
      <c r="A52" t="s">
        <v>7</v>
      </c>
      <c r="B52" t="s">
        <v>219</v>
      </c>
      <c r="C52" t="s">
        <v>373</v>
      </c>
      <c r="D52" t="s">
        <v>30</v>
      </c>
      <c r="E52" t="str">
        <f>RIGHT(Tabla1[[#This Row],[NUMERO DE SERIE ]],10)</f>
        <v>21076N0B62</v>
      </c>
      <c r="F52" t="s">
        <v>799</v>
      </c>
      <c r="G52" t="str">
        <f>_xlfn.XLOOKUP(Tabla1[[#This Row],[SERIE]],'DATA IT'!D:D,'DATA IT'!G:G)</f>
        <v>RP4B</v>
      </c>
    </row>
    <row r="53" spans="1:8" x14ac:dyDescent="0.35">
      <c r="A53" t="s">
        <v>7</v>
      </c>
      <c r="B53" t="s">
        <v>199</v>
      </c>
      <c r="C53" t="s">
        <v>384</v>
      </c>
      <c r="D53" t="s">
        <v>411</v>
      </c>
      <c r="E53" t="s">
        <v>565</v>
      </c>
      <c r="F53" t="s">
        <v>799</v>
      </c>
      <c r="G53" t="str">
        <f>_xlfn.XLOOKUP(Tabla1[[#This Row],[SERIE]],'DATA IT'!D:D,'DATA IT'!G:G)</f>
        <v>RP4B</v>
      </c>
    </row>
    <row r="54" spans="1:8" x14ac:dyDescent="0.35">
      <c r="A54" t="s">
        <v>7</v>
      </c>
      <c r="B54" t="s">
        <v>33</v>
      </c>
      <c r="C54" t="s">
        <v>383</v>
      </c>
      <c r="D54" t="s">
        <v>76</v>
      </c>
      <c r="E54" t="str">
        <f>RIGHT(Tabla1[[#This Row],[NUMERO DE SERIE ]],10)</f>
        <v>21076N0B65</v>
      </c>
      <c r="F54" t="s">
        <v>799</v>
      </c>
      <c r="G54" t="str">
        <f>_xlfn.XLOOKUP(Tabla1[[#This Row],[SERIE]],'DATA IT'!D:D,'DATA IT'!G:G)</f>
        <v>RP4B</v>
      </c>
    </row>
    <row r="55" spans="1:8" x14ac:dyDescent="0.35">
      <c r="A55" t="s">
        <v>7</v>
      </c>
      <c r="B55" t="s">
        <v>414</v>
      </c>
      <c r="C55" t="s">
        <v>415</v>
      </c>
      <c r="D55" t="s">
        <v>10</v>
      </c>
      <c r="E55" t="str">
        <f>RIGHT(Tabla1[[#This Row],[NUMERO DE SERIE ]],10)</f>
        <v>21077N0177</v>
      </c>
      <c r="F55" t="s">
        <v>799</v>
      </c>
      <c r="G55" t="str">
        <f>_xlfn.XLOOKUP(Tabla1[[#This Row],[SERIE]],'DATA IT'!D:D,'DATA IT'!G:G)</f>
        <v>RP4B</v>
      </c>
      <c r="H55" t="s">
        <v>389</v>
      </c>
    </row>
    <row r="56" spans="1:8" x14ac:dyDescent="0.35">
      <c r="A56" t="s">
        <v>7</v>
      </c>
      <c r="B56" t="s">
        <v>414</v>
      </c>
      <c r="C56" t="s">
        <v>415</v>
      </c>
      <c r="D56" t="s">
        <v>24</v>
      </c>
      <c r="E56" t="str">
        <f>RIGHT(Tabla1[[#This Row],[NUMERO DE SERIE ]],10)</f>
        <v>21077N0178</v>
      </c>
      <c r="F56" t="s">
        <v>799</v>
      </c>
      <c r="G56" t="str">
        <f>_xlfn.XLOOKUP(Tabla1[[#This Row],[SERIE]],'DATA IT'!D:D,'DATA IT'!G:G)</f>
        <v>RP4B</v>
      </c>
      <c r="H56" t="s">
        <v>389</v>
      </c>
    </row>
    <row r="57" spans="1:8" x14ac:dyDescent="0.35">
      <c r="A57" t="s">
        <v>7</v>
      </c>
      <c r="B57" t="s">
        <v>414</v>
      </c>
      <c r="C57" t="s">
        <v>415</v>
      </c>
      <c r="D57" s="49" t="s">
        <v>220</v>
      </c>
      <c r="E57" t="str">
        <f>RIGHT(Tabla1[[#This Row],[NUMERO DE SERIE ]],10)</f>
        <v>21077N0179</v>
      </c>
      <c r="F57" t="s">
        <v>799</v>
      </c>
      <c r="G57" t="str">
        <f>_xlfn.XLOOKUP(Tabla1[[#This Row],[SERIE]],'DATA IT'!D:D,'DATA IT'!G:G)</f>
        <v>RP4B</v>
      </c>
      <c r="H57" t="s">
        <v>389</v>
      </c>
    </row>
    <row r="58" spans="1:8" x14ac:dyDescent="0.35">
      <c r="A58" t="s">
        <v>7</v>
      </c>
      <c r="B58" t="s">
        <v>234</v>
      </c>
      <c r="C58" t="s">
        <v>373</v>
      </c>
      <c r="D58" t="s">
        <v>227</v>
      </c>
      <c r="E58" t="str">
        <f>RIGHT(Tabla1[[#This Row],[NUMERO DE SERIE ]],10)</f>
        <v>21077N017A</v>
      </c>
      <c r="F58" t="s">
        <v>799</v>
      </c>
      <c r="G58" t="str">
        <f>_xlfn.XLOOKUP(Tabla1[[#This Row],[SERIE]],'DATA IT'!D:D,'DATA IT'!G:G)</f>
        <v>RP4B</v>
      </c>
    </row>
    <row r="59" spans="1:8" x14ac:dyDescent="0.35">
      <c r="A59" t="s">
        <v>7</v>
      </c>
      <c r="B59" t="s">
        <v>65</v>
      </c>
      <c r="C59" t="s">
        <v>382</v>
      </c>
      <c r="D59" t="s">
        <v>58</v>
      </c>
      <c r="E59" t="str">
        <f>RIGHT(Tabla1[[#This Row],[NUMERO DE SERIE ]],10)</f>
        <v>21077N017B</v>
      </c>
      <c r="F59" t="s">
        <v>799</v>
      </c>
      <c r="G59" t="str">
        <f>_xlfn.XLOOKUP(Tabla1[[#This Row],[SERIE]],'DATA IT'!D:D,'DATA IT'!G:G)</f>
        <v>RP4B</v>
      </c>
    </row>
    <row r="60" spans="1:8" x14ac:dyDescent="0.35">
      <c r="A60" t="s">
        <v>7</v>
      </c>
      <c r="B60" t="s">
        <v>360</v>
      </c>
      <c r="C60" t="s">
        <v>384</v>
      </c>
      <c r="D60" t="s">
        <v>361</v>
      </c>
      <c r="E60" t="str">
        <f>RIGHT(Tabla1[[#This Row],[NUMERO DE SERIE ]],10)</f>
        <v>21077N017C</v>
      </c>
      <c r="F60" t="s">
        <v>799</v>
      </c>
      <c r="G60" t="str">
        <f>_xlfn.XLOOKUP(Tabla1[[#This Row],[SERIE]],'DATA IT'!D:D,'DATA IT'!G:G)</f>
        <v>RP4B</v>
      </c>
    </row>
    <row r="61" spans="1:8" x14ac:dyDescent="0.35">
      <c r="A61" t="s">
        <v>7</v>
      </c>
      <c r="B61" t="s">
        <v>77</v>
      </c>
      <c r="C61" t="s">
        <v>382</v>
      </c>
      <c r="D61" t="s">
        <v>78</v>
      </c>
      <c r="E61" t="str">
        <f>RIGHT(Tabla1[[#This Row],[NUMERO DE SERIE ]],10)</f>
        <v>21077N017D</v>
      </c>
      <c r="F61" t="s">
        <v>799</v>
      </c>
      <c r="G61" t="str">
        <f>_xlfn.XLOOKUP(Tabla1[[#This Row],[SERIE]],'DATA IT'!D:D,'DATA IT'!G:G)</f>
        <v>RP4B</v>
      </c>
    </row>
    <row r="62" spans="1:8" x14ac:dyDescent="0.35">
      <c r="A62" t="s">
        <v>7</v>
      </c>
      <c r="B62" t="s">
        <v>379</v>
      </c>
      <c r="C62" t="s">
        <v>384</v>
      </c>
      <c r="D62" t="s">
        <v>129</v>
      </c>
      <c r="E62" t="str">
        <f>RIGHT(Tabla1[[#This Row],[NUMERO DE SERIE ]],10)</f>
        <v>21077N017E</v>
      </c>
      <c r="F62" t="s">
        <v>799</v>
      </c>
      <c r="G62" t="str">
        <f>_xlfn.XLOOKUP(Tabla1[[#This Row],[SERIE]],'DATA IT'!D:D,'DATA IT'!G:G)</f>
        <v>RP4B</v>
      </c>
    </row>
    <row r="63" spans="1:8" x14ac:dyDescent="0.35">
      <c r="A63" t="s">
        <v>7</v>
      </c>
      <c r="B63" t="s">
        <v>37</v>
      </c>
      <c r="C63" t="s">
        <v>382</v>
      </c>
      <c r="D63" t="s">
        <v>328</v>
      </c>
      <c r="E63" t="str">
        <f>RIGHT(Tabla1[[#This Row],[NUMERO DE SERIE ]],10)</f>
        <v>21077N0180</v>
      </c>
      <c r="F63" t="s">
        <v>799</v>
      </c>
      <c r="G63" t="str">
        <f>_xlfn.XLOOKUP(Tabla1[[#This Row],[SERIE]],'DATA IT'!D:D,'DATA IT'!G:G)</f>
        <v>RP4B</v>
      </c>
    </row>
    <row r="64" spans="1:8" x14ac:dyDescent="0.35">
      <c r="A64" t="s">
        <v>7</v>
      </c>
      <c r="B64" t="s">
        <v>202</v>
      </c>
      <c r="C64" t="s">
        <v>373</v>
      </c>
      <c r="D64" t="s">
        <v>324</v>
      </c>
      <c r="E64" t="str">
        <f>RIGHT(Tabla1[[#This Row],[NUMERO DE SERIE ]],10)</f>
        <v>21077N0198</v>
      </c>
      <c r="F64" t="s">
        <v>799</v>
      </c>
      <c r="G64" t="str">
        <f>_xlfn.XLOOKUP(Tabla1[[#This Row],[SERIE]],'DATA IT'!D:D,'DATA IT'!G:G)</f>
        <v>RP4B</v>
      </c>
    </row>
    <row r="65" spans="1:9" x14ac:dyDescent="0.35">
      <c r="A65" t="s">
        <v>7</v>
      </c>
      <c r="B65" t="s">
        <v>18</v>
      </c>
      <c r="C65" t="s">
        <v>373</v>
      </c>
      <c r="D65" t="s">
        <v>132</v>
      </c>
      <c r="E65" t="str">
        <f>RIGHT(Tabla1[[#This Row],[NUMERO DE SERIE ]],10)</f>
        <v>21077N01A0</v>
      </c>
      <c r="F65" t="s">
        <v>799</v>
      </c>
      <c r="G65" t="str">
        <f>_xlfn.XLOOKUP(Tabla1[[#This Row],[SERIE]],'DATA IT'!D:D,'DATA IT'!G:G)</f>
        <v>RP4B</v>
      </c>
    </row>
    <row r="66" spans="1:9" x14ac:dyDescent="0.35">
      <c r="A66" t="s">
        <v>401</v>
      </c>
      <c r="B66" t="s">
        <v>35</v>
      </c>
      <c r="C66" t="s">
        <v>382</v>
      </c>
      <c r="D66" t="s">
        <v>404</v>
      </c>
      <c r="E66" t="str">
        <f>RIGHT(Tabla1[[#This Row],[NUMERO DE SERIE ]],10)</f>
        <v>25335N03E7</v>
      </c>
      <c r="F66" t="s">
        <v>799</v>
      </c>
      <c r="G66" t="e">
        <f>_xlfn.XLOOKUP(Tabla1[[#This Row],[SERIE]],'DATA IT'!D:D,'DATA IT'!G:G)</f>
        <v>#N/A</v>
      </c>
    </row>
    <row r="67" spans="1:9" x14ac:dyDescent="0.35">
      <c r="A67" t="s">
        <v>7</v>
      </c>
      <c r="B67" t="s">
        <v>29</v>
      </c>
      <c r="C67" t="s">
        <v>384</v>
      </c>
      <c r="D67" t="s">
        <v>161</v>
      </c>
      <c r="E67" t="str">
        <f>RIGHT(Tabla1[[#This Row],[NUMERO DE SERIE ]],10)</f>
        <v>21077N01A3</v>
      </c>
      <c r="F67" t="s">
        <v>799</v>
      </c>
      <c r="G67" t="str">
        <f>_xlfn.XLOOKUP(Tabla1[[#This Row],[SERIE]],'DATA IT'!D:D,'DATA IT'!G:G)</f>
        <v>RP4B</v>
      </c>
    </row>
    <row r="68" spans="1:9" x14ac:dyDescent="0.35">
      <c r="A68" t="s">
        <v>7</v>
      </c>
      <c r="B68" t="s">
        <v>55</v>
      </c>
      <c r="C68" t="s">
        <v>382</v>
      </c>
      <c r="D68" t="s">
        <v>123</v>
      </c>
      <c r="E68" t="str">
        <f>RIGHT(Tabla1[[#This Row],[NUMERO DE SERIE ]],10)</f>
        <v>21077N01A5</v>
      </c>
      <c r="F68" t="s">
        <v>799</v>
      </c>
      <c r="G68" t="str">
        <f>_xlfn.XLOOKUP(Tabla1[[#This Row],[SERIE]],'DATA IT'!D:D,'DATA IT'!G:G)</f>
        <v>RP4B</v>
      </c>
    </row>
    <row r="69" spans="1:9" x14ac:dyDescent="0.35">
      <c r="A69" t="s">
        <v>7</v>
      </c>
      <c r="B69" t="s">
        <v>50</v>
      </c>
      <c r="C69" t="s">
        <v>383</v>
      </c>
      <c r="D69" t="s">
        <v>320</v>
      </c>
      <c r="E69" t="str">
        <f>RIGHT(Tabla1[[#This Row],[NUMERO DE SERIE ]],10)</f>
        <v>21077N01A6</v>
      </c>
      <c r="F69" t="s">
        <v>799</v>
      </c>
      <c r="G69" t="str">
        <f>_xlfn.XLOOKUP(Tabla1[[#This Row],[SERIE]],'DATA IT'!D:D,'DATA IT'!G:G)</f>
        <v>RP4B</v>
      </c>
    </row>
    <row r="70" spans="1:9" x14ac:dyDescent="0.35">
      <c r="A70" t="s">
        <v>7</v>
      </c>
      <c r="B70" t="s">
        <v>368</v>
      </c>
      <c r="C70" t="s">
        <v>384</v>
      </c>
      <c r="D70" t="s">
        <v>369</v>
      </c>
      <c r="E70" t="str">
        <f>RIGHT(Tabla1[[#This Row],[NUMERO DE SERIE ]],10)</f>
        <v>21077N01A7</v>
      </c>
      <c r="F70" t="s">
        <v>799</v>
      </c>
      <c r="G70" t="str">
        <f>_xlfn.XLOOKUP(Tabla1[[#This Row],[SERIE]],'DATA IT'!D:D,'DATA IT'!G:G)</f>
        <v>RP4B</v>
      </c>
    </row>
    <row r="71" spans="1:9" x14ac:dyDescent="0.35">
      <c r="A71" t="s">
        <v>7</v>
      </c>
      <c r="B71" t="s">
        <v>246</v>
      </c>
      <c r="C71" t="s">
        <v>373</v>
      </c>
      <c r="D71" t="s">
        <v>178</v>
      </c>
      <c r="E71" t="str">
        <f>RIGHT(Tabla1[[#This Row],[NUMERO DE SERIE ]],10)</f>
        <v>21077N01A9</v>
      </c>
      <c r="F71" t="s">
        <v>799</v>
      </c>
      <c r="G71" t="str">
        <f>_xlfn.XLOOKUP(Tabla1[[#This Row],[SERIE]],'DATA IT'!D:D,'DATA IT'!G:G)</f>
        <v>RP4B</v>
      </c>
    </row>
    <row r="72" spans="1:9" x14ac:dyDescent="0.35">
      <c r="A72" t="s">
        <v>7</v>
      </c>
      <c r="B72" t="s">
        <v>98</v>
      </c>
      <c r="C72" t="s">
        <v>383</v>
      </c>
      <c r="D72" t="s">
        <v>312</v>
      </c>
      <c r="E72" t="str">
        <f>RIGHT(Tabla1[[#This Row],[NUMERO DE SERIE ]],10)</f>
        <v>21077N01BD</v>
      </c>
      <c r="F72" t="s">
        <v>799</v>
      </c>
      <c r="G72" t="str">
        <f>_xlfn.XLOOKUP(Tabla1[[#This Row],[SERIE]],'DATA IT'!D:D,'DATA IT'!G:G)</f>
        <v>RP4B</v>
      </c>
    </row>
    <row r="73" spans="1:9" x14ac:dyDescent="0.35">
      <c r="A73" t="s">
        <v>7</v>
      </c>
      <c r="B73" t="s">
        <v>346</v>
      </c>
      <c r="C73" t="s">
        <v>384</v>
      </c>
      <c r="D73" t="s">
        <v>347</v>
      </c>
      <c r="E73" t="str">
        <f>RIGHT(Tabla1[[#This Row],[NUMERO DE SERIE ]],10)</f>
        <v>21077N01BE</v>
      </c>
      <c r="F73" t="s">
        <v>799</v>
      </c>
      <c r="G73" t="str">
        <f>_xlfn.XLOOKUP(Tabla1[[#This Row],[SERIE]],'DATA IT'!D:D,'DATA IT'!G:G)</f>
        <v>RP4B</v>
      </c>
    </row>
    <row r="74" spans="1:9" x14ac:dyDescent="0.35">
      <c r="A74" t="s">
        <v>7</v>
      </c>
      <c r="B74" t="s">
        <v>89</v>
      </c>
      <c r="C74" t="s">
        <v>382</v>
      </c>
      <c r="D74" t="s">
        <v>403</v>
      </c>
      <c r="E74" t="str">
        <f>RIGHT(Tabla1[[#This Row],[NUMERO DE SERIE ]],10)</f>
        <v>21078N5408</v>
      </c>
      <c r="F74" t="s">
        <v>799</v>
      </c>
      <c r="G74" t="e">
        <f>_xlfn.XLOOKUP(Tabla1[[#This Row],[SERIE]],'DATA IT'!D:D,'DATA IT'!G:G)</f>
        <v>#N/A</v>
      </c>
    </row>
    <row r="75" spans="1:9" x14ac:dyDescent="0.35">
      <c r="A75" t="s">
        <v>7</v>
      </c>
      <c r="B75" t="s">
        <v>394</v>
      </c>
      <c r="C75" t="s">
        <v>387</v>
      </c>
      <c r="D75" t="s">
        <v>90</v>
      </c>
      <c r="E75" t="str">
        <f>RIGHT(Tabla1[[#This Row],[NUMERO DE SERIE ]],10)</f>
        <v>21077N01BF</v>
      </c>
      <c r="F75" t="s">
        <v>799</v>
      </c>
      <c r="G75" t="str">
        <f>_xlfn.XLOOKUP(Tabla1[[#This Row],[SERIE]],'DATA IT'!D:D,'DATA IT'!G:G)</f>
        <v>RP4B</v>
      </c>
      <c r="H75" t="s">
        <v>389</v>
      </c>
    </row>
    <row r="76" spans="1:9" x14ac:dyDescent="0.35">
      <c r="A76" t="s">
        <v>7</v>
      </c>
      <c r="B76" t="s">
        <v>341</v>
      </c>
      <c r="C76" t="s">
        <v>384</v>
      </c>
      <c r="D76" t="s">
        <v>343</v>
      </c>
      <c r="E76" t="str">
        <f>RIGHT(Tabla1[[#This Row],[NUMERO DE SERIE ]],10)</f>
        <v>21077N01C0</v>
      </c>
      <c r="F76" t="s">
        <v>799</v>
      </c>
      <c r="G76" t="str">
        <f>_xlfn.XLOOKUP(Tabla1[[#This Row],[SERIE]],'DATA IT'!D:D,'DATA IT'!G:G)</f>
        <v>RP4B</v>
      </c>
    </row>
    <row r="77" spans="1:9" x14ac:dyDescent="0.35">
      <c r="A77" t="s">
        <v>7</v>
      </c>
      <c r="B77" t="s">
        <v>414</v>
      </c>
      <c r="C77" t="s">
        <v>415</v>
      </c>
      <c r="D77" t="s">
        <v>56</v>
      </c>
      <c r="E77" t="str">
        <f>RIGHT(Tabla1[[#This Row],[NUMERO DE SERIE ]],10)</f>
        <v>21078N5067</v>
      </c>
      <c r="F77" t="s">
        <v>799</v>
      </c>
      <c r="G77" t="str">
        <f>_xlfn.XLOOKUP(Tabla1[[#This Row],[SERIE]],'DATA IT'!D:D,'DATA IT'!G:G)</f>
        <v>RP4B</v>
      </c>
      <c r="H77" t="s">
        <v>389</v>
      </c>
      <c r="I77" t="s">
        <v>423</v>
      </c>
    </row>
    <row r="78" spans="1:9" x14ac:dyDescent="0.35">
      <c r="A78" t="s">
        <v>393</v>
      </c>
      <c r="B78" t="s">
        <v>272</v>
      </c>
      <c r="C78" t="s">
        <v>387</v>
      </c>
      <c r="D78" t="s">
        <v>158</v>
      </c>
      <c r="E78" t="str">
        <f>RIGHT(Tabla1[[#This Row],[NUMERO DE SERIE ]],10)</f>
        <v>21078N5097</v>
      </c>
      <c r="F78" t="s">
        <v>799</v>
      </c>
      <c r="G78" t="str">
        <f>_xlfn.XLOOKUP(Tabla1[[#This Row],[SERIE]],'DATA IT'!D:D,'DATA IT'!G:G)</f>
        <v>RP4B</v>
      </c>
    </row>
    <row r="79" spans="1:9" x14ac:dyDescent="0.35">
      <c r="A79" t="s">
        <v>7</v>
      </c>
      <c r="B79" t="s">
        <v>394</v>
      </c>
      <c r="C79" t="s">
        <v>387</v>
      </c>
      <c r="D79" t="s">
        <v>294</v>
      </c>
      <c r="E79" t="str">
        <f>RIGHT(Tabla1[[#This Row],[NUMERO DE SERIE ]],10)</f>
        <v>21078N5330</v>
      </c>
      <c r="F79" t="s">
        <v>799</v>
      </c>
      <c r="G79" t="str">
        <f>_xlfn.XLOOKUP(Tabla1[[#This Row],[SERIE]],'DATA IT'!D:D,'DATA IT'!G:G)</f>
        <v>RP4B</v>
      </c>
      <c r="H79" t="s">
        <v>389</v>
      </c>
    </row>
    <row r="80" spans="1:9" x14ac:dyDescent="0.35">
      <c r="A80" t="s">
        <v>7</v>
      </c>
      <c r="B80" t="s">
        <v>31</v>
      </c>
      <c r="C80" t="s">
        <v>384</v>
      </c>
      <c r="D80" t="s">
        <v>277</v>
      </c>
      <c r="E80" t="str">
        <f>RIGHT(Tabla1[[#This Row],[NUMERO DE SERIE ]],10)</f>
        <v>21078N5368</v>
      </c>
      <c r="F80" t="s">
        <v>799</v>
      </c>
      <c r="G80" t="str">
        <f>_xlfn.XLOOKUP(Tabla1[[#This Row],[SERIE]],'DATA IT'!D:D,'DATA IT'!G:G)</f>
        <v>RP4B</v>
      </c>
    </row>
    <row r="81" spans="1:9" x14ac:dyDescent="0.35">
      <c r="A81" t="s">
        <v>7</v>
      </c>
      <c r="B81" t="s">
        <v>414</v>
      </c>
      <c r="C81" t="s">
        <v>415</v>
      </c>
      <c r="D81" t="s">
        <v>172</v>
      </c>
      <c r="E81" t="str">
        <f>RIGHT(Tabla1[[#This Row],[NUMERO DE SERIE ]],10)</f>
        <v>21078N5384</v>
      </c>
      <c r="F81" t="s">
        <v>799</v>
      </c>
      <c r="G81" t="str">
        <f>_xlfn.XLOOKUP(Tabla1[[#This Row],[SERIE]],'DATA IT'!D:D,'DATA IT'!G:G)</f>
        <v>RP4B</v>
      </c>
      <c r="H81" t="s">
        <v>389</v>
      </c>
      <c r="I81" t="s">
        <v>423</v>
      </c>
    </row>
    <row r="82" spans="1:9" x14ac:dyDescent="0.35">
      <c r="A82" t="s">
        <v>7</v>
      </c>
      <c r="B82" t="s">
        <v>27</v>
      </c>
      <c r="C82" t="s">
        <v>383</v>
      </c>
      <c r="D82" t="s">
        <v>402</v>
      </c>
      <c r="E82" t="str">
        <f>RIGHT(Tabla1[[#This Row],[NUMERO DE SERIE ]],10)</f>
        <v xml:space="preserve">1069N0879 </v>
      </c>
      <c r="F82" t="s">
        <v>799</v>
      </c>
      <c r="G82" t="e">
        <f>_xlfn.XLOOKUP(Tabla1[[#This Row],[SERIE]],'DATA IT'!D:D,'DATA IT'!G:G)</f>
        <v>#N/A</v>
      </c>
    </row>
    <row r="83" spans="1:9" x14ac:dyDescent="0.35">
      <c r="A83" t="s">
        <v>7</v>
      </c>
      <c r="B83" t="s">
        <v>238</v>
      </c>
      <c r="C83" t="s">
        <v>373</v>
      </c>
      <c r="D83" t="s">
        <v>239</v>
      </c>
      <c r="E83" t="str">
        <f>RIGHT(Tabla1[[#This Row],[NUMERO DE SERIE ]],10)</f>
        <v>21078N5388</v>
      </c>
      <c r="F83" t="s">
        <v>799</v>
      </c>
      <c r="G83" t="str">
        <f>_xlfn.XLOOKUP(Tabla1[[#This Row],[SERIE]],'DATA IT'!D:D,'DATA IT'!G:G)</f>
        <v>RP4B</v>
      </c>
    </row>
    <row r="84" spans="1:9" x14ac:dyDescent="0.35">
      <c r="A84" t="s">
        <v>7</v>
      </c>
      <c r="B84" t="s">
        <v>358</v>
      </c>
      <c r="C84" t="s">
        <v>384</v>
      </c>
      <c r="D84" t="s">
        <v>359</v>
      </c>
      <c r="E84" t="str">
        <f>RIGHT(Tabla1[[#This Row],[NUMERO DE SERIE ]],10)</f>
        <v>21078N5406</v>
      </c>
      <c r="F84" t="s">
        <v>799</v>
      </c>
      <c r="G84" t="str">
        <f>_xlfn.XLOOKUP(Tabla1[[#This Row],[SERIE]],'DATA IT'!D:D,'DATA IT'!G:G)</f>
        <v>RP4B</v>
      </c>
    </row>
    <row r="85" spans="1:9" x14ac:dyDescent="0.35">
      <c r="A85" t="s">
        <v>7</v>
      </c>
      <c r="B85" t="s">
        <v>160</v>
      </c>
      <c r="C85" t="s">
        <v>383</v>
      </c>
      <c r="D85" t="s">
        <v>314</v>
      </c>
      <c r="E85" t="str">
        <f>RIGHT(Tabla1[[#This Row],[NUMERO DE SERIE ]],10)</f>
        <v>21078N5409</v>
      </c>
      <c r="F85" t="s">
        <v>799</v>
      </c>
      <c r="G85" t="str">
        <f>_xlfn.XLOOKUP(Tabla1[[#This Row],[SERIE]],'DATA IT'!D:D,'DATA IT'!G:G)</f>
        <v>RP4B</v>
      </c>
    </row>
    <row r="86" spans="1:9" x14ac:dyDescent="0.35">
      <c r="A86" t="s">
        <v>7</v>
      </c>
      <c r="B86" t="s">
        <v>394</v>
      </c>
      <c r="C86" t="s">
        <v>387</v>
      </c>
      <c r="D86" t="s">
        <v>273</v>
      </c>
      <c r="E86" t="str">
        <f>RIGHT(Tabla1[[#This Row],[NUMERO DE SERIE ]],10)</f>
        <v>21078N5423</v>
      </c>
      <c r="F86" t="s">
        <v>799</v>
      </c>
      <c r="G86" t="str">
        <f>_xlfn.XLOOKUP(Tabla1[[#This Row],[SERIE]],'DATA IT'!D:D,'DATA IT'!G:G)</f>
        <v>RP4B</v>
      </c>
      <c r="H86" t="s">
        <v>389</v>
      </c>
    </row>
    <row r="87" spans="1:9" x14ac:dyDescent="0.35">
      <c r="A87" t="s">
        <v>7</v>
      </c>
      <c r="B87" t="s">
        <v>278</v>
      </c>
      <c r="C87" t="s">
        <v>387</v>
      </c>
      <c r="D87" t="s">
        <v>279</v>
      </c>
      <c r="E87" t="str">
        <f>RIGHT(Tabla1[[#This Row],[NUMERO DE SERIE ]],10)</f>
        <v>21078N5437</v>
      </c>
      <c r="F87" t="s">
        <v>799</v>
      </c>
      <c r="G87" t="str">
        <f>_xlfn.XLOOKUP(Tabla1[[#This Row],[SERIE]],'DATA IT'!D:D,'DATA IT'!G:G)</f>
        <v>RP4B</v>
      </c>
    </row>
    <row r="88" spans="1:9" x14ac:dyDescent="0.35">
      <c r="A88" t="s">
        <v>7</v>
      </c>
      <c r="B88" t="s">
        <v>289</v>
      </c>
      <c r="C88" t="s">
        <v>387</v>
      </c>
      <c r="D88" t="s">
        <v>290</v>
      </c>
      <c r="E88" t="str">
        <f>RIGHT(Tabla1[[#This Row],[NUMERO DE SERIE ]],10)</f>
        <v>21078N5458</v>
      </c>
      <c r="F88" t="s">
        <v>799</v>
      </c>
      <c r="G88" t="str">
        <f>_xlfn.XLOOKUP(Tabla1[[#This Row],[SERIE]],'DATA IT'!D:D,'DATA IT'!G:G)</f>
        <v>RP4B</v>
      </c>
    </row>
    <row r="89" spans="1:9" x14ac:dyDescent="0.35">
      <c r="A89" t="s">
        <v>7</v>
      </c>
      <c r="B89" t="s">
        <v>69</v>
      </c>
      <c r="C89" t="s">
        <v>382</v>
      </c>
      <c r="D89" t="s">
        <v>405</v>
      </c>
      <c r="E89" t="s">
        <v>643</v>
      </c>
      <c r="F89" t="s">
        <v>799</v>
      </c>
      <c r="G89" t="str">
        <f>_xlfn.XLOOKUP(Tabla1[[#This Row],[SERIE]],'DATA IT'!D:D,'DATA IT'!G:G)</f>
        <v>RP4B</v>
      </c>
    </row>
    <row r="90" spans="1:9" x14ac:dyDescent="0.35">
      <c r="A90" t="s">
        <v>7</v>
      </c>
      <c r="B90" t="s">
        <v>414</v>
      </c>
      <c r="C90" t="s">
        <v>415</v>
      </c>
      <c r="D90" t="s">
        <v>165</v>
      </c>
      <c r="E90" t="str">
        <f>RIGHT(Tabla1[[#This Row],[NUMERO DE SERIE ]],10)</f>
        <v>21078N5538</v>
      </c>
      <c r="F90" t="s">
        <v>799</v>
      </c>
      <c r="G90" t="str">
        <f>_xlfn.XLOOKUP(Tabla1[[#This Row],[SERIE]],'DATA IT'!D:D,'DATA IT'!G:G)</f>
        <v>RP4B</v>
      </c>
      <c r="H90" t="s">
        <v>389</v>
      </c>
      <c r="I90" t="s">
        <v>423</v>
      </c>
    </row>
    <row r="91" spans="1:9" x14ac:dyDescent="0.35">
      <c r="A91" t="s">
        <v>7</v>
      </c>
      <c r="B91" t="s">
        <v>414</v>
      </c>
      <c r="C91" t="s">
        <v>415</v>
      </c>
      <c r="D91" t="s">
        <v>198</v>
      </c>
      <c r="E91" t="str">
        <f>RIGHT(Tabla1[[#This Row],[NUMERO DE SERIE ]],10)</f>
        <v>21078N5542</v>
      </c>
      <c r="F91" t="s">
        <v>799</v>
      </c>
      <c r="G91" t="str">
        <f>_xlfn.XLOOKUP(Tabla1[[#This Row],[SERIE]],'DATA IT'!D:D,'DATA IT'!G:G)</f>
        <v>RP4B</v>
      </c>
      <c r="H91" t="s">
        <v>389</v>
      </c>
      <c r="I91" t="s">
        <v>425</v>
      </c>
    </row>
    <row r="92" spans="1:9" x14ac:dyDescent="0.35">
      <c r="A92" t="s">
        <v>7</v>
      </c>
      <c r="B92" t="s">
        <v>168</v>
      </c>
      <c r="C92" t="s">
        <v>383</v>
      </c>
      <c r="D92" t="s">
        <v>125</v>
      </c>
      <c r="E92" t="str">
        <f>RIGHT(Tabla1[[#This Row],[NUMERO DE SERIE ]],10)</f>
        <v>21078N5543</v>
      </c>
      <c r="F92" t="s">
        <v>799</v>
      </c>
      <c r="G92" t="str">
        <f>_xlfn.XLOOKUP(Tabla1[[#This Row],[SERIE]],'DATA IT'!D:D,'DATA IT'!G:G)</f>
        <v>RP4B</v>
      </c>
    </row>
    <row r="93" spans="1:9" x14ac:dyDescent="0.35">
      <c r="A93" t="s">
        <v>7</v>
      </c>
      <c r="B93" t="s">
        <v>23</v>
      </c>
      <c r="C93" t="s">
        <v>382</v>
      </c>
      <c r="D93" t="s">
        <v>213</v>
      </c>
      <c r="E93" t="str">
        <f>RIGHT(Tabla1[[#This Row],[NUMERO DE SERIE ]],10)</f>
        <v>21078N5547</v>
      </c>
      <c r="F93" t="s">
        <v>799</v>
      </c>
      <c r="G93" t="str">
        <f>_xlfn.XLOOKUP(Tabla1[[#This Row],[SERIE]],'DATA IT'!D:D,'DATA IT'!G:G)</f>
        <v>RP4B</v>
      </c>
    </row>
    <row r="94" spans="1:9" x14ac:dyDescent="0.35">
      <c r="A94" t="s">
        <v>7</v>
      </c>
      <c r="B94" t="s">
        <v>381</v>
      </c>
      <c r="C94" t="s">
        <v>387</v>
      </c>
      <c r="D94" t="s">
        <v>259</v>
      </c>
      <c r="E94" t="str">
        <f>RIGHT(Tabla1[[#This Row],[NUMERO DE SERIE ]],10)</f>
        <v>21078N5563</v>
      </c>
      <c r="F94" t="s">
        <v>799</v>
      </c>
      <c r="G94" t="str">
        <f>_xlfn.XLOOKUP(Tabla1[[#This Row],[SERIE]],'DATA IT'!D:D,'DATA IT'!G:G)</f>
        <v>RP4B</v>
      </c>
    </row>
    <row r="95" spans="1:9" x14ac:dyDescent="0.35">
      <c r="A95" t="s">
        <v>7</v>
      </c>
      <c r="B95" t="s">
        <v>11</v>
      </c>
      <c r="C95" t="s">
        <v>383</v>
      </c>
      <c r="D95" t="s">
        <v>396</v>
      </c>
      <c r="E95" t="s">
        <v>657</v>
      </c>
      <c r="F95" t="s">
        <v>799</v>
      </c>
      <c r="G95" t="str">
        <f>_xlfn.XLOOKUP(Tabla1[[#This Row],[SERIE]],'DATA IT'!D:D,'DATA IT'!G:G)</f>
        <v>RP4B</v>
      </c>
    </row>
    <row r="96" spans="1:9" x14ac:dyDescent="0.35">
      <c r="A96" t="s">
        <v>7</v>
      </c>
      <c r="B96" t="s">
        <v>25</v>
      </c>
      <c r="C96" t="s">
        <v>373</v>
      </c>
      <c r="D96" t="s">
        <v>44</v>
      </c>
      <c r="E96" t="str">
        <f>RIGHT(Tabla1[[#This Row],[NUMERO DE SERIE ]],10)</f>
        <v>21078N5592</v>
      </c>
      <c r="F96" t="s">
        <v>799</v>
      </c>
      <c r="G96" t="str">
        <f>_xlfn.XLOOKUP(Tabla1[[#This Row],[SERIE]],'DATA IT'!D:D,'DATA IT'!G:G)</f>
        <v>RP4B</v>
      </c>
    </row>
    <row r="97" spans="1:9" x14ac:dyDescent="0.35">
      <c r="A97" t="s">
        <v>7</v>
      </c>
      <c r="B97" t="s">
        <v>256</v>
      </c>
      <c r="C97" t="s">
        <v>387</v>
      </c>
      <c r="D97" t="s">
        <v>257</v>
      </c>
      <c r="E97" t="str">
        <f>RIGHT(Tabla1[[#This Row],[NUMERO DE SERIE ]],10)</f>
        <v>21088N075F</v>
      </c>
      <c r="F97" t="s">
        <v>799</v>
      </c>
      <c r="G97" t="str">
        <f>_xlfn.XLOOKUP(Tabla1[[#This Row],[SERIE]],'DATA IT'!D:D,'DATA IT'!G:G)</f>
        <v>RP4B</v>
      </c>
    </row>
    <row r="98" spans="1:9" x14ac:dyDescent="0.35">
      <c r="A98" t="s">
        <v>7</v>
      </c>
      <c r="B98" t="s">
        <v>75</v>
      </c>
      <c r="C98" t="s">
        <v>382</v>
      </c>
      <c r="D98" t="s">
        <v>247</v>
      </c>
      <c r="E98" t="str">
        <f>RIGHT(Tabla1[[#This Row],[NUMERO DE SERIE ]],10)</f>
        <v>21088N076C</v>
      </c>
      <c r="F98" t="s">
        <v>799</v>
      </c>
      <c r="G98" t="str">
        <f>_xlfn.XLOOKUP(Tabla1[[#This Row],[SERIE]],'DATA IT'!D:D,'DATA IT'!G:G)</f>
        <v>RP4B</v>
      </c>
    </row>
    <row r="99" spans="1:9" x14ac:dyDescent="0.35">
      <c r="A99" t="s">
        <v>7</v>
      </c>
      <c r="B99" t="s">
        <v>52</v>
      </c>
      <c r="C99" t="s">
        <v>382</v>
      </c>
      <c r="D99" t="s">
        <v>251</v>
      </c>
      <c r="E99" t="str">
        <f>RIGHT(Tabla1[[#This Row],[NUMERO DE SERIE ]],10)</f>
        <v>21088N0771</v>
      </c>
      <c r="F99" t="s">
        <v>799</v>
      </c>
      <c r="G99" t="str">
        <f>_xlfn.XLOOKUP(Tabla1[[#This Row],[SERIE]],'DATA IT'!D:D,'DATA IT'!G:G)</f>
        <v>RP4B</v>
      </c>
    </row>
    <row r="100" spans="1:9" x14ac:dyDescent="0.35">
      <c r="A100" t="s">
        <v>7</v>
      </c>
      <c r="B100" t="s">
        <v>183</v>
      </c>
      <c r="C100" t="s">
        <v>384</v>
      </c>
      <c r="D100" t="s">
        <v>134</v>
      </c>
      <c r="E100" t="str">
        <f>RIGHT(Tabla1[[#This Row],[NUMERO DE SERIE ]],10)</f>
        <v>21088N0775</v>
      </c>
      <c r="F100" t="s">
        <v>799</v>
      </c>
      <c r="G100" t="str">
        <f>_xlfn.XLOOKUP(Tabla1[[#This Row],[SERIE]],'DATA IT'!D:D,'DATA IT'!G:G)</f>
        <v>RP4B</v>
      </c>
    </row>
    <row r="101" spans="1:9" x14ac:dyDescent="0.35">
      <c r="A101" t="s">
        <v>7</v>
      </c>
      <c r="B101" t="s">
        <v>252</v>
      </c>
      <c r="C101" t="s">
        <v>387</v>
      </c>
      <c r="D101" t="s">
        <v>275</v>
      </c>
      <c r="E101" t="str">
        <f>RIGHT(Tabla1[[#This Row],[NUMERO DE SERIE ]],10)</f>
        <v>21088N0778</v>
      </c>
      <c r="F101" t="s">
        <v>799</v>
      </c>
      <c r="G101" t="str">
        <f>_xlfn.XLOOKUP(Tabla1[[#This Row],[SERIE]],'DATA IT'!D:D,'DATA IT'!G:G)</f>
        <v>RP4B</v>
      </c>
    </row>
    <row r="102" spans="1:9" x14ac:dyDescent="0.35">
      <c r="A102" t="s">
        <v>7</v>
      </c>
      <c r="B102" t="s">
        <v>414</v>
      </c>
      <c r="C102" t="s">
        <v>415</v>
      </c>
      <c r="D102" t="s">
        <v>83</v>
      </c>
      <c r="E102" t="str">
        <f>RIGHT(Tabla1[[#This Row],[NUMERO DE SERIE ]],10)</f>
        <v>21088N078C</v>
      </c>
      <c r="F102" t="s">
        <v>799</v>
      </c>
      <c r="G102" t="str">
        <f>_xlfn.XLOOKUP(Tabla1[[#This Row],[SERIE]],'DATA IT'!D:D,'DATA IT'!G:G)</f>
        <v>RP4B</v>
      </c>
      <c r="H102" t="s">
        <v>389</v>
      </c>
      <c r="I102" t="s">
        <v>423</v>
      </c>
    </row>
    <row r="103" spans="1:9" x14ac:dyDescent="0.35">
      <c r="A103" t="s">
        <v>7</v>
      </c>
      <c r="B103" t="s">
        <v>414</v>
      </c>
      <c r="C103" t="s">
        <v>415</v>
      </c>
      <c r="D103" t="s">
        <v>163</v>
      </c>
      <c r="E103" t="str">
        <f>RIGHT(Tabla1[[#This Row],[NUMERO DE SERIE ]],10)</f>
        <v>21088N079F</v>
      </c>
      <c r="F103" t="s">
        <v>799</v>
      </c>
      <c r="G103" t="str">
        <f>_xlfn.XLOOKUP(Tabla1[[#This Row],[SERIE]],'DATA IT'!D:D,'DATA IT'!G:G)</f>
        <v>RP4B</v>
      </c>
      <c r="H103" t="s">
        <v>389</v>
      </c>
    </row>
    <row r="104" spans="1:9" x14ac:dyDescent="0.35">
      <c r="A104" t="s">
        <v>7</v>
      </c>
      <c r="B104" t="s">
        <v>282</v>
      </c>
      <c r="C104" t="s">
        <v>387</v>
      </c>
      <c r="D104" t="s">
        <v>390</v>
      </c>
      <c r="E104" t="str">
        <f>RIGHT(Tabla1[[#This Row],[NUMERO DE SERIE ]],10)</f>
        <v>21089N0B19</v>
      </c>
      <c r="F104" t="s">
        <v>799</v>
      </c>
      <c r="G104" t="str">
        <f>_xlfn.XLOOKUP(Tabla1[[#This Row],[SERIE]],'DATA IT'!D:D,'DATA IT'!G:G)</f>
        <v>RP4B</v>
      </c>
    </row>
    <row r="105" spans="1:9" x14ac:dyDescent="0.35">
      <c r="A105" t="s">
        <v>7</v>
      </c>
      <c r="B105" t="s">
        <v>303</v>
      </c>
      <c r="C105" t="s">
        <v>387</v>
      </c>
      <c r="D105" t="s">
        <v>285</v>
      </c>
      <c r="E105" t="str">
        <f>RIGHT(Tabla1[[#This Row],[NUMERO DE SERIE ]],10)</f>
        <v>21089N0B24</v>
      </c>
      <c r="F105" t="s">
        <v>799</v>
      </c>
      <c r="G105" t="str">
        <f>_xlfn.XLOOKUP(Tabla1[[#This Row],[SERIE]],'DATA IT'!D:D,'DATA IT'!G:G)</f>
        <v>RP4B</v>
      </c>
    </row>
    <row r="106" spans="1:9" x14ac:dyDescent="0.35">
      <c r="A106" t="s">
        <v>7</v>
      </c>
      <c r="B106" t="s">
        <v>204</v>
      </c>
      <c r="C106" t="s">
        <v>387</v>
      </c>
      <c r="D106" t="s">
        <v>205</v>
      </c>
      <c r="E106" t="str">
        <f>RIGHT(Tabla1[[#This Row],[NUMERO DE SERIE ]],10)</f>
        <v>21089N0B31</v>
      </c>
      <c r="F106" t="s">
        <v>799</v>
      </c>
      <c r="G106" t="str">
        <f>_xlfn.XLOOKUP(Tabla1[[#This Row],[SERIE]],'DATA IT'!D:D,'DATA IT'!G:G)</f>
        <v>RP4B</v>
      </c>
    </row>
    <row r="107" spans="1:9" x14ac:dyDescent="0.35">
      <c r="A107" t="s">
        <v>7</v>
      </c>
      <c r="B107" t="s">
        <v>93</v>
      </c>
      <c r="C107" t="s">
        <v>384</v>
      </c>
      <c r="D107" t="s">
        <v>357</v>
      </c>
      <c r="E107" t="str">
        <f>RIGHT(Tabla1[[#This Row],[NUMERO DE SERIE ]],10)</f>
        <v>21090N092A</v>
      </c>
      <c r="F107" t="s">
        <v>799</v>
      </c>
      <c r="G107" t="str">
        <f>_xlfn.XLOOKUP(Tabla1[[#This Row],[SERIE]],'DATA IT'!D:D,'DATA IT'!G:G)</f>
        <v>RP4B</v>
      </c>
    </row>
    <row r="108" spans="1:9" x14ac:dyDescent="0.35">
      <c r="A108" t="s">
        <v>191</v>
      </c>
      <c r="B108" t="s">
        <v>380</v>
      </c>
      <c r="C108" t="s">
        <v>384</v>
      </c>
      <c r="D108" t="s">
        <v>193</v>
      </c>
      <c r="E108" t="str">
        <f>RIGHT(Tabla1[[#This Row],[NUMERO DE SERIE ]],10)</f>
        <v>21090N095F</v>
      </c>
      <c r="F108" t="s">
        <v>799</v>
      </c>
      <c r="G108" t="str">
        <f>_xlfn.XLOOKUP(Tabla1[[#This Row],[SERIE]],'DATA IT'!D:D,'DATA IT'!G:G)</f>
        <v>RP4B</v>
      </c>
    </row>
    <row r="109" spans="1:9" x14ac:dyDescent="0.35">
      <c r="A109" t="s">
        <v>7</v>
      </c>
      <c r="B109" t="s">
        <v>317</v>
      </c>
      <c r="C109" t="s">
        <v>383</v>
      </c>
      <c r="D109" t="s">
        <v>254</v>
      </c>
      <c r="E109" t="str">
        <f>RIGHT(Tabla1[[#This Row],[NUMERO DE SERIE ]],10)</f>
        <v>21090N0960</v>
      </c>
      <c r="F109" t="s">
        <v>799</v>
      </c>
      <c r="G109" t="str">
        <f>_xlfn.XLOOKUP(Tabla1[[#This Row],[SERIE]],'DATA IT'!D:D,'DATA IT'!G:G)</f>
        <v>RP4B</v>
      </c>
    </row>
    <row r="110" spans="1:9" x14ac:dyDescent="0.35">
      <c r="A110" t="s">
        <v>7</v>
      </c>
      <c r="B110" t="s">
        <v>362</v>
      </c>
      <c r="C110" t="s">
        <v>384</v>
      </c>
      <c r="D110" t="s">
        <v>363</v>
      </c>
      <c r="E110" t="str">
        <f>RIGHT(Tabla1[[#This Row],[NUMERO DE SERIE ]],10)</f>
        <v>21091N0A7C</v>
      </c>
      <c r="F110" t="s">
        <v>799</v>
      </c>
      <c r="G110" t="str">
        <f>_xlfn.XLOOKUP(Tabla1[[#This Row],[SERIE]],'DATA IT'!D:D,'DATA IT'!G:G)</f>
        <v>RP4B</v>
      </c>
    </row>
    <row r="111" spans="1:9" x14ac:dyDescent="0.35">
      <c r="A111" t="s">
        <v>7</v>
      </c>
      <c r="B111" t="s">
        <v>414</v>
      </c>
      <c r="C111" t="s">
        <v>415</v>
      </c>
      <c r="D111" t="s">
        <v>419</v>
      </c>
      <c r="E111" t="str">
        <f>RIGHT(Tabla1[[#This Row],[NUMERO DE SERIE ]],10)</f>
        <v>21153N0D83</v>
      </c>
      <c r="F111" t="s">
        <v>799</v>
      </c>
      <c r="G111" t="str">
        <f>_xlfn.XLOOKUP(Tabla1[[#This Row],[SERIE]],'DATA IT'!D:D,'DATA IT'!G:G)</f>
        <v>RP4B</v>
      </c>
      <c r="H111" t="s">
        <v>389</v>
      </c>
    </row>
    <row r="112" spans="1:9" x14ac:dyDescent="0.35">
      <c r="A112" t="s">
        <v>7</v>
      </c>
      <c r="B112" t="s">
        <v>43</v>
      </c>
      <c r="C112" t="s">
        <v>383</v>
      </c>
      <c r="D112" t="s">
        <v>176</v>
      </c>
      <c r="E112" t="str">
        <f>RIGHT(Tabla1[[#This Row],[NUMERO DE SERIE ]],10)</f>
        <v>21167N032E</v>
      </c>
      <c r="F112" t="s">
        <v>799</v>
      </c>
      <c r="G112" t="str">
        <f>_xlfn.XLOOKUP(Tabla1[[#This Row],[SERIE]],'DATA IT'!D:D,'DATA IT'!G:G)</f>
        <v>RP4B</v>
      </c>
    </row>
    <row r="113" spans="1:9" x14ac:dyDescent="0.35">
      <c r="A113" t="s">
        <v>7</v>
      </c>
      <c r="B113" t="s">
        <v>321</v>
      </c>
      <c r="C113" t="s">
        <v>383</v>
      </c>
      <c r="D113" t="s">
        <v>398</v>
      </c>
      <c r="E113" t="str">
        <f>RIGHT(Tabla1[[#This Row],[NUMERO DE SERIE ]],10)</f>
        <v>21167N0346</v>
      </c>
      <c r="F113" t="s">
        <v>799</v>
      </c>
      <c r="G113" t="str">
        <f>_xlfn.XLOOKUP(Tabla1[[#This Row],[SERIE]],'DATA IT'!D:D,'DATA IT'!G:G)</f>
        <v>RP4B</v>
      </c>
      <c r="I113" t="s">
        <v>399</v>
      </c>
    </row>
    <row r="114" spans="1:9" x14ac:dyDescent="0.35">
      <c r="A114" t="s">
        <v>7</v>
      </c>
      <c r="B114" t="s">
        <v>414</v>
      </c>
      <c r="C114" t="s">
        <v>415</v>
      </c>
      <c r="D114" t="s">
        <v>32</v>
      </c>
      <c r="E114" t="str">
        <f>RIGHT(Tabla1[[#This Row],[NUMERO DE SERIE ]],10)</f>
        <v>21167N035E</v>
      </c>
      <c r="F114" t="s">
        <v>799</v>
      </c>
      <c r="G114" t="str">
        <f>_xlfn.XLOOKUP(Tabla1[[#This Row],[SERIE]],'DATA IT'!D:D,'DATA IT'!G:G)</f>
        <v>RP4B</v>
      </c>
      <c r="H114" t="s">
        <v>389</v>
      </c>
    </row>
    <row r="115" spans="1:9" x14ac:dyDescent="0.35">
      <c r="A115" t="s">
        <v>7</v>
      </c>
      <c r="B115" t="s">
        <v>109</v>
      </c>
      <c r="C115" t="s">
        <v>373</v>
      </c>
      <c r="D115" t="s">
        <v>110</v>
      </c>
      <c r="E115" t="str">
        <f>RIGHT(Tabla1[[#This Row],[NUMERO DE SERIE ]],10)</f>
        <v>21167N0360</v>
      </c>
      <c r="F115" t="s">
        <v>799</v>
      </c>
      <c r="G115" t="str">
        <f>_xlfn.XLOOKUP(Tabla1[[#This Row],[SERIE]],'DATA IT'!D:D,'DATA IT'!G:G)</f>
        <v>RP4B</v>
      </c>
    </row>
    <row r="116" spans="1:9" x14ac:dyDescent="0.35">
      <c r="A116" t="s">
        <v>391</v>
      </c>
      <c r="B116" t="s">
        <v>21</v>
      </c>
      <c r="C116" t="s">
        <v>383</v>
      </c>
      <c r="D116" t="s">
        <v>22</v>
      </c>
      <c r="E116" t="str">
        <f>RIGHT(Tabla1[[#This Row],[NUMERO DE SERIE ]],10)</f>
        <v>21167N0368</v>
      </c>
      <c r="F116" t="s">
        <v>799</v>
      </c>
      <c r="G116" t="str">
        <f>_xlfn.XLOOKUP(Tabla1[[#This Row],[SERIE]],'DATA IT'!D:D,'DATA IT'!G:G)</f>
        <v>RP4B</v>
      </c>
    </row>
    <row r="117" spans="1:9" x14ac:dyDescent="0.35">
      <c r="A117" t="s">
        <v>7</v>
      </c>
      <c r="B117" t="s">
        <v>16</v>
      </c>
      <c r="C117" t="s">
        <v>373</v>
      </c>
      <c r="D117" t="s">
        <v>17</v>
      </c>
      <c r="E117" t="str">
        <f>RIGHT(Tabla1[[#This Row],[NUMERO DE SERIE ]],10)</f>
        <v>21167N0372</v>
      </c>
      <c r="F117" t="s">
        <v>799</v>
      </c>
      <c r="G117" t="str">
        <f>_xlfn.XLOOKUP(Tabla1[[#This Row],[SERIE]],'DATA IT'!D:D,'DATA IT'!G:G)</f>
        <v>RP4B</v>
      </c>
    </row>
    <row r="118" spans="1:9" x14ac:dyDescent="0.35">
      <c r="A118" t="s">
        <v>7</v>
      </c>
      <c r="B118" t="s">
        <v>47</v>
      </c>
      <c r="C118" t="s">
        <v>382</v>
      </c>
      <c r="D118" t="s">
        <v>49</v>
      </c>
      <c r="E118" t="str">
        <f>RIGHT(Tabla1[[#This Row],[NUMERO DE SERIE ]],10)</f>
        <v>21167N0393</v>
      </c>
      <c r="F118" t="s">
        <v>799</v>
      </c>
      <c r="G118" t="str">
        <f>_xlfn.XLOOKUP(Tabla1[[#This Row],[SERIE]],'DATA IT'!D:D,'DATA IT'!G:G)</f>
        <v>RP4B</v>
      </c>
    </row>
    <row r="119" spans="1:9" x14ac:dyDescent="0.35">
      <c r="A119" t="s">
        <v>7</v>
      </c>
      <c r="B119" t="s">
        <v>412</v>
      </c>
      <c r="C119" t="s">
        <v>384</v>
      </c>
      <c r="D119" t="s">
        <v>99</v>
      </c>
      <c r="E119" t="str">
        <f>RIGHT(Tabla1[[#This Row],[NUMERO DE SERIE ]],10)</f>
        <v>21168N03E9</v>
      </c>
      <c r="F119" t="s">
        <v>799</v>
      </c>
      <c r="G119" t="str">
        <f>_xlfn.XLOOKUP(Tabla1[[#This Row],[SERIE]],'DATA IT'!D:D,'DATA IT'!G:G)</f>
        <v>RP4B</v>
      </c>
    </row>
    <row r="120" spans="1:9" x14ac:dyDescent="0.35">
      <c r="A120" t="s">
        <v>7</v>
      </c>
      <c r="B120" t="s">
        <v>414</v>
      </c>
      <c r="C120" t="s">
        <v>415</v>
      </c>
      <c r="D120" t="s">
        <v>42</v>
      </c>
      <c r="E120" t="str">
        <f>RIGHT(Tabla1[[#This Row],[NUMERO DE SERIE ]],10)</f>
        <v>21168N03EE</v>
      </c>
      <c r="F120" t="s">
        <v>799</v>
      </c>
      <c r="G120" t="str">
        <f>_xlfn.XLOOKUP(Tabla1[[#This Row],[SERIE]],'DATA IT'!D:D,'DATA IT'!G:G)</f>
        <v>RP4B</v>
      </c>
      <c r="H120" t="s">
        <v>389</v>
      </c>
      <c r="I120" t="s">
        <v>423</v>
      </c>
    </row>
    <row r="121" spans="1:9" x14ac:dyDescent="0.35">
      <c r="A121" t="s">
        <v>7</v>
      </c>
      <c r="B121" t="s">
        <v>177</v>
      </c>
      <c r="C121" t="s">
        <v>383</v>
      </c>
      <c r="D121" t="s">
        <v>136</v>
      </c>
      <c r="E121" t="str">
        <f>RIGHT(Tabla1[[#This Row],[NUMERO DE SERIE ]],10)</f>
        <v>21168N03F0</v>
      </c>
      <c r="F121" t="s">
        <v>799</v>
      </c>
      <c r="G121" t="str">
        <f>_xlfn.XLOOKUP(Tabla1[[#This Row],[SERIE]],'DATA IT'!D:D,'DATA IT'!G:G)</f>
        <v>RP4B</v>
      </c>
    </row>
    <row r="122" spans="1:9" x14ac:dyDescent="0.35">
      <c r="A122" t="s">
        <v>7</v>
      </c>
      <c r="B122" t="s">
        <v>414</v>
      </c>
      <c r="C122" t="s">
        <v>415</v>
      </c>
      <c r="D122" t="s">
        <v>209</v>
      </c>
      <c r="E122" t="str">
        <f>RIGHT(Tabla1[[#This Row],[NUMERO DE SERIE ]],10)</f>
        <v>21168N03F8</v>
      </c>
      <c r="F122" t="s">
        <v>799</v>
      </c>
      <c r="G122" t="str">
        <f>_xlfn.XLOOKUP(Tabla1[[#This Row],[SERIE]],'DATA IT'!D:D,'DATA IT'!G:G)</f>
        <v>RP4B</v>
      </c>
      <c r="H122" t="s">
        <v>389</v>
      </c>
    </row>
    <row r="123" spans="1:9" x14ac:dyDescent="0.35">
      <c r="A123" t="s">
        <v>7</v>
      </c>
      <c r="B123" t="s">
        <v>62</v>
      </c>
      <c r="C123" t="s">
        <v>382</v>
      </c>
      <c r="D123" t="s">
        <v>249</v>
      </c>
      <c r="E123" t="str">
        <f>RIGHT(Tabla1[[#This Row],[NUMERO DE SERIE ]],10)</f>
        <v>21168N0438</v>
      </c>
      <c r="F123" t="s">
        <v>799</v>
      </c>
      <c r="G123" t="str">
        <f>_xlfn.XLOOKUP(Tabla1[[#This Row],[SERIE]],'DATA IT'!D:D,'DATA IT'!G:G)</f>
        <v>RP4B</v>
      </c>
    </row>
    <row r="124" spans="1:9" x14ac:dyDescent="0.35">
      <c r="A124" t="s">
        <v>7</v>
      </c>
      <c r="B124" t="s">
        <v>375</v>
      </c>
      <c r="C124" t="s">
        <v>373</v>
      </c>
      <c r="D124" t="s">
        <v>106</v>
      </c>
      <c r="E124" t="str">
        <f>RIGHT(Tabla1[[#This Row],[NUMERO DE SERIE ]],10)</f>
        <v>21169N0821</v>
      </c>
      <c r="F124" t="s">
        <v>799</v>
      </c>
      <c r="G124" t="str">
        <f>_xlfn.XLOOKUP(Tabla1[[#This Row],[SERIE]],'DATA IT'!D:D,'DATA IT'!G:G)</f>
        <v>RP4B</v>
      </c>
    </row>
    <row r="125" spans="1:9" x14ac:dyDescent="0.35">
      <c r="A125" t="s">
        <v>7</v>
      </c>
      <c r="B125" t="s">
        <v>414</v>
      </c>
      <c r="C125" t="s">
        <v>415</v>
      </c>
      <c r="D125" t="s">
        <v>422</v>
      </c>
      <c r="E125" t="str">
        <f>RIGHT(Tabla1[[#This Row],[NUMERO DE SERIE ]],10)</f>
        <v>21173N0795</v>
      </c>
      <c r="F125" t="s">
        <v>799</v>
      </c>
      <c r="G125" t="str">
        <f>_xlfn.XLOOKUP(Tabla1[[#This Row],[SERIE]],'DATA IT'!D:D,'DATA IT'!G:G)</f>
        <v>RP4B</v>
      </c>
      <c r="H125" t="s">
        <v>389</v>
      </c>
      <c r="I125" t="s">
        <v>399</v>
      </c>
    </row>
    <row r="126" spans="1:9" x14ac:dyDescent="0.35">
      <c r="A126" t="s">
        <v>7</v>
      </c>
      <c r="B126" t="s">
        <v>344</v>
      </c>
      <c r="C126" t="s">
        <v>384</v>
      </c>
      <c r="D126" t="s">
        <v>410</v>
      </c>
      <c r="E126" t="str">
        <f>RIGHT(Tabla1[[#This Row],[NUMERO DE SERIE ]],10)</f>
        <v>21173N0860</v>
      </c>
      <c r="F126" t="s">
        <v>799</v>
      </c>
      <c r="G126" t="str">
        <f>_xlfn.XLOOKUP(Tabla1[[#This Row],[SERIE]],'DATA IT'!D:D,'DATA IT'!G:G)</f>
        <v>RP4B</v>
      </c>
      <c r="I126" t="s">
        <v>399</v>
      </c>
    </row>
    <row r="127" spans="1:9" x14ac:dyDescent="0.35">
      <c r="A127" t="s">
        <v>7</v>
      </c>
      <c r="B127" t="s">
        <v>323</v>
      </c>
      <c r="C127" t="s">
        <v>383</v>
      </c>
      <c r="D127" t="s">
        <v>318</v>
      </c>
      <c r="E127" t="str">
        <f>RIGHT(Tabla1[[#This Row],[NUMERO DE SERIE ]],10)</f>
        <v>21174N0A31</v>
      </c>
      <c r="F127" t="s">
        <v>799</v>
      </c>
      <c r="G127" t="str">
        <f>_xlfn.XLOOKUP(Tabla1[[#This Row],[SERIE]],'DATA IT'!D:D,'DATA IT'!G:G)</f>
        <v>RP4B</v>
      </c>
    </row>
    <row r="128" spans="1:9" x14ac:dyDescent="0.35">
      <c r="A128" t="s">
        <v>7</v>
      </c>
      <c r="B128" t="s">
        <v>71</v>
      </c>
      <c r="C128" t="s">
        <v>382</v>
      </c>
      <c r="D128" t="s">
        <v>40</v>
      </c>
      <c r="E128" t="str">
        <f>RIGHT(Tabla1[[#This Row],[NUMERO DE SERIE ]],10)</f>
        <v>21179N0123</v>
      </c>
      <c r="F128" t="s">
        <v>799</v>
      </c>
      <c r="G128" t="str">
        <f>_xlfn.XLOOKUP(Tabla1[[#This Row],[SERIE]],'DATA IT'!D:D,'DATA IT'!G:G)</f>
        <v>RP4B</v>
      </c>
    </row>
    <row r="129" spans="1:9" x14ac:dyDescent="0.35">
      <c r="A129" t="s">
        <v>7</v>
      </c>
      <c r="B129" t="s">
        <v>14</v>
      </c>
      <c r="C129" t="s">
        <v>373</v>
      </c>
      <c r="D129" t="s">
        <v>800</v>
      </c>
      <c r="E129" t="s">
        <v>744</v>
      </c>
      <c r="F129" t="s">
        <v>799</v>
      </c>
      <c r="G129" t="str">
        <f>_xlfn.XLOOKUP(Tabla1[[#This Row],[SERIE]],'DATA IT'!D:D,'DATA IT'!G:G)</f>
        <v>RP4B</v>
      </c>
    </row>
    <row r="130" spans="1:9" x14ac:dyDescent="0.35">
      <c r="A130" t="s">
        <v>7</v>
      </c>
      <c r="B130" t="s">
        <v>305</v>
      </c>
      <c r="C130" t="s">
        <v>383</v>
      </c>
      <c r="D130" t="s">
        <v>400</v>
      </c>
      <c r="E130" t="str">
        <f>RIGHT(Tabla1[[#This Row],[NUMERO DE SERIE ]],10)</f>
        <v>21179N0150</v>
      </c>
      <c r="F130" t="s">
        <v>799</v>
      </c>
      <c r="G130" t="str">
        <f>_xlfn.XLOOKUP(Tabla1[[#This Row],[SERIE]],'DATA IT'!D:D,'DATA IT'!G:G)</f>
        <v>RP4B</v>
      </c>
      <c r="I130" t="s">
        <v>399</v>
      </c>
    </row>
    <row r="131" spans="1:9" x14ac:dyDescent="0.35">
      <c r="A131" t="s">
        <v>7</v>
      </c>
      <c r="B131" t="s">
        <v>356</v>
      </c>
      <c r="C131" t="s">
        <v>384</v>
      </c>
      <c r="D131" t="s">
        <v>408</v>
      </c>
      <c r="E131" t="str">
        <f>RIGHT(Tabla1[[#This Row],[NUMERO DE SERIE ]],10)</f>
        <v>21180N031C</v>
      </c>
      <c r="F131" t="s">
        <v>799</v>
      </c>
      <c r="G131" t="str">
        <f>_xlfn.XLOOKUP(Tabla1[[#This Row],[SERIE]],'DATA IT'!D:D,'DATA IT'!G:G)</f>
        <v>RP4B</v>
      </c>
    </row>
    <row r="132" spans="1:9" x14ac:dyDescent="0.35">
      <c r="A132" t="s">
        <v>7</v>
      </c>
      <c r="B132" t="s">
        <v>79</v>
      </c>
      <c r="C132" t="s">
        <v>382</v>
      </c>
      <c r="D132" s="49" t="s">
        <v>80</v>
      </c>
      <c r="E132" s="49" t="str">
        <f>RIGHT(Tabla1[[#This Row],[NUMERO DE SERIE ]],10)</f>
        <v>21180N031F</v>
      </c>
      <c r="F132" t="s">
        <v>799</v>
      </c>
      <c r="G132" t="str">
        <f>_xlfn.XLOOKUP(Tabla1[[#This Row],[SERIE]],'DATA IT'!D:D,'DATA IT'!G:G)</f>
        <v>RP4B</v>
      </c>
    </row>
    <row r="133" spans="1:9" x14ac:dyDescent="0.35">
      <c r="A133" t="s">
        <v>7</v>
      </c>
      <c r="B133" t="s">
        <v>208</v>
      </c>
      <c r="C133" t="s">
        <v>383</v>
      </c>
      <c r="D133" s="49" t="s">
        <v>80</v>
      </c>
      <c r="E133" s="49" t="str">
        <f>RIGHT(Tabla1[[#This Row],[NUMERO DE SERIE ]],10)</f>
        <v>21180N031F</v>
      </c>
      <c r="F133" t="s">
        <v>799</v>
      </c>
      <c r="G133" t="s">
        <v>805</v>
      </c>
    </row>
    <row r="134" spans="1:9" x14ac:dyDescent="0.35">
      <c r="A134" t="s">
        <v>7</v>
      </c>
      <c r="B134" t="s">
        <v>378</v>
      </c>
      <c r="C134" t="s">
        <v>384</v>
      </c>
      <c r="D134" t="s">
        <v>349</v>
      </c>
      <c r="E134" t="str">
        <f>RIGHT(Tabla1[[#This Row],[NUMERO DE SERIE ]],10)</f>
        <v>21180N0334</v>
      </c>
      <c r="F134" t="s">
        <v>799</v>
      </c>
      <c r="G134" t="str">
        <f>_xlfn.XLOOKUP(Tabla1[[#This Row],[SERIE]],'DATA IT'!D:D,'DATA IT'!G:G)</f>
        <v>RP4B</v>
      </c>
    </row>
    <row r="135" spans="1:9" x14ac:dyDescent="0.35">
      <c r="A135" t="s">
        <v>7</v>
      </c>
      <c r="B135" t="s">
        <v>284</v>
      </c>
      <c r="C135" t="s">
        <v>387</v>
      </c>
      <c r="D135" t="s">
        <v>139</v>
      </c>
      <c r="E135" t="str">
        <f>RIGHT(Tabla1[[#This Row],[NUMERO DE SERIE ]],10)</f>
        <v>22176N032C</v>
      </c>
      <c r="F135" t="s">
        <v>799</v>
      </c>
      <c r="G135" t="str">
        <f>_xlfn.XLOOKUP(Tabla1[[#This Row],[SERIE]],'DATA IT'!D:D,'DATA IT'!G:G)</f>
        <v>RP4B</v>
      </c>
    </row>
    <row r="136" spans="1:9" x14ac:dyDescent="0.35">
      <c r="A136" t="s">
        <v>7</v>
      </c>
      <c r="B136" t="s">
        <v>327</v>
      </c>
      <c r="C136" t="s">
        <v>383</v>
      </c>
      <c r="D136" t="s">
        <v>397</v>
      </c>
      <c r="E136" t="s">
        <v>754</v>
      </c>
      <c r="F136" t="s">
        <v>799</v>
      </c>
      <c r="G136" t="str">
        <f>_xlfn.XLOOKUP(Tabla1[[#This Row],[SERIE]],'DATA IT'!D:D,'DATA IT'!G:G)</f>
        <v>RP4B</v>
      </c>
    </row>
    <row r="137" spans="1:9" x14ac:dyDescent="0.35">
      <c r="A137" t="s">
        <v>7</v>
      </c>
      <c r="B137" t="s">
        <v>350</v>
      </c>
      <c r="C137" t="s">
        <v>384</v>
      </c>
      <c r="D137" t="s">
        <v>104</v>
      </c>
      <c r="E137" t="str">
        <f>RIGHT(Tabla1[[#This Row],[NUMERO DE SERIE ]],10)</f>
        <v>22178N05AA</v>
      </c>
      <c r="F137" t="s">
        <v>799</v>
      </c>
      <c r="G137" t="str">
        <f>_xlfn.XLOOKUP(Tabla1[[#This Row],[SERIE]],'DATA IT'!D:D,'DATA IT'!G:G)</f>
        <v>RP4B</v>
      </c>
    </row>
    <row r="138" spans="1:9" x14ac:dyDescent="0.35">
      <c r="A138" t="s">
        <v>7</v>
      </c>
      <c r="B138" t="s">
        <v>414</v>
      </c>
      <c r="C138" t="s">
        <v>415</v>
      </c>
      <c r="D138" t="s">
        <v>420</v>
      </c>
      <c r="E138" t="str">
        <f>RIGHT(Tabla1[[#This Row],[NUMERO DE SERIE ]],10)</f>
        <v>22178N05C6</v>
      </c>
      <c r="F138" t="s">
        <v>799</v>
      </c>
      <c r="G138" t="str">
        <f>_xlfn.XLOOKUP(Tabla1[[#This Row],[SERIE]],'DATA IT'!D:D,'DATA IT'!G:G)</f>
        <v>RP4B</v>
      </c>
      <c r="H138" t="s">
        <v>389</v>
      </c>
    </row>
    <row r="139" spans="1:9" x14ac:dyDescent="0.35">
      <c r="A139" t="s">
        <v>7</v>
      </c>
      <c r="B139" t="s">
        <v>232</v>
      </c>
      <c r="C139" t="s">
        <v>373</v>
      </c>
      <c r="D139" t="s">
        <v>233</v>
      </c>
      <c r="E139" t="str">
        <f>RIGHT(Tabla1[[#This Row],[NUMERO DE SERIE ]],10)</f>
        <v>22179N0CDD</v>
      </c>
      <c r="F139" t="s">
        <v>799</v>
      </c>
      <c r="G139" t="str">
        <f>_xlfn.XLOOKUP(Tabla1[[#This Row],[SERIE]],'DATA IT'!D:D,'DATA IT'!G:G)</f>
        <v>RP4B</v>
      </c>
    </row>
    <row r="140" spans="1:9" x14ac:dyDescent="0.35">
      <c r="A140" t="s">
        <v>7</v>
      </c>
      <c r="B140" t="s">
        <v>59</v>
      </c>
      <c r="C140" t="s">
        <v>382</v>
      </c>
      <c r="D140" t="s">
        <v>406</v>
      </c>
      <c r="E140" t="str">
        <f>RIGHT(Tabla1[[#This Row],[NUMERO DE SERIE ]],10)</f>
        <v>22313N03AA</v>
      </c>
      <c r="F140" t="s">
        <v>799</v>
      </c>
      <c r="G140" t="str">
        <f>_xlfn.XLOOKUP(Tabla1[[#This Row],[SERIE]],'DATA IT'!D:D,'DATA IT'!G:G)</f>
        <v>RP4B</v>
      </c>
    </row>
    <row r="141" spans="1:9" x14ac:dyDescent="0.35">
      <c r="A141" t="s">
        <v>391</v>
      </c>
      <c r="B141" t="s">
        <v>299</v>
      </c>
      <c r="C141" t="s">
        <v>387</v>
      </c>
      <c r="D141" t="s">
        <v>392</v>
      </c>
      <c r="E141" t="str">
        <f>RIGHT(Tabla1[[#This Row],[NUMERO DE SERIE ]],10)</f>
        <v>22313N03F8</v>
      </c>
      <c r="F141" t="s">
        <v>799</v>
      </c>
      <c r="G141" t="str">
        <f>_xlfn.XLOOKUP(Tabla1[[#This Row],[SERIE]],'DATA IT'!D:D,'DATA IT'!G:G)</f>
        <v>RP4B</v>
      </c>
      <c r="I141" t="s">
        <v>399</v>
      </c>
    </row>
    <row r="142" spans="1:9" x14ac:dyDescent="0.35">
      <c r="A142" t="s">
        <v>7</v>
      </c>
      <c r="B142" t="s">
        <v>414</v>
      </c>
      <c r="C142" t="s">
        <v>415</v>
      </c>
      <c r="D142" t="s">
        <v>421</v>
      </c>
      <c r="E142" t="str">
        <f>RIGHT(Tabla1[[#This Row],[NUMERO DE SERIE ]],10)</f>
        <v>22315N0021</v>
      </c>
      <c r="F142" t="s">
        <v>799</v>
      </c>
      <c r="G142" t="str">
        <f>_xlfn.XLOOKUP(Tabla1[[#This Row],[SERIE]],'DATA IT'!D:D,'DATA IT'!G:G)</f>
        <v>RP4B</v>
      </c>
      <c r="H142" t="s">
        <v>389</v>
      </c>
      <c r="I142" t="s">
        <v>399</v>
      </c>
    </row>
    <row r="143" spans="1:9" x14ac:dyDescent="0.35">
      <c r="A143" t="s">
        <v>7</v>
      </c>
      <c r="B143" t="s">
        <v>366</v>
      </c>
      <c r="C143" t="s">
        <v>384</v>
      </c>
      <c r="D143" t="s">
        <v>407</v>
      </c>
      <c r="E143" t="str">
        <f>RIGHT(Tabla1[[#This Row],[NUMERO DE SERIE ]],10)</f>
        <v>22315N0030</v>
      </c>
      <c r="F143" t="s">
        <v>799</v>
      </c>
      <c r="G143" t="str">
        <f>_xlfn.XLOOKUP(Tabla1[[#This Row],[SERIE]],'DATA IT'!D:D,'DATA IT'!G:G)</f>
        <v>RP4B</v>
      </c>
      <c r="I143" t="s">
        <v>399</v>
      </c>
    </row>
    <row r="144" spans="1:9" x14ac:dyDescent="0.35">
      <c r="A144" t="s">
        <v>401</v>
      </c>
      <c r="B144" t="s">
        <v>414</v>
      </c>
      <c r="C144" t="s">
        <v>415</v>
      </c>
      <c r="D144" t="s">
        <v>426</v>
      </c>
      <c r="E144" t="str">
        <f>RIGHT(Tabla1[[#This Row],[NUMERO DE SERIE ]],10)</f>
        <v>25295N05F2</v>
      </c>
      <c r="F144" t="s">
        <v>799</v>
      </c>
      <c r="G144" t="str">
        <f>_xlfn.XLOOKUP(Tabla1[[#This Row],[SERIE]],'DATA IT'!D:D,'DATA IT'!G:G)</f>
        <v>RP4F</v>
      </c>
      <c r="H144" t="s">
        <v>389</v>
      </c>
      <c r="I144" t="s">
        <v>427</v>
      </c>
    </row>
    <row r="145" spans="1:9" x14ac:dyDescent="0.35">
      <c r="A145" t="s">
        <v>401</v>
      </c>
      <c r="B145" t="s">
        <v>331</v>
      </c>
      <c r="C145" t="s">
        <v>383</v>
      </c>
      <c r="D145" t="s">
        <v>801</v>
      </c>
      <c r="E145" t="str">
        <f>RIGHT(Tabla1[[#This Row],[NUMERO DE SERIE ]],10)</f>
        <v>25295N05F9</v>
      </c>
      <c r="F145" t="s">
        <v>799</v>
      </c>
      <c r="G145" t="str">
        <f>_xlfn.XLOOKUP(Tabla1[[#This Row],[SERIE]],'DATA IT'!D:D,'DATA IT'!G:G)</f>
        <v>RP4F</v>
      </c>
      <c r="I145" t="s">
        <v>399</v>
      </c>
    </row>
    <row r="146" spans="1:9" x14ac:dyDescent="0.35">
      <c r="A146" t="s">
        <v>7</v>
      </c>
      <c r="B146" t="s">
        <v>228</v>
      </c>
      <c r="C146" t="s">
        <v>373</v>
      </c>
      <c r="D146" t="s">
        <v>386</v>
      </c>
      <c r="E146" t="str">
        <f>RIGHT(Tabla1[[#This Row],[NUMERO DE SERIE ]],10)</f>
        <v>25295N05FD</v>
      </c>
      <c r="F146" t="s">
        <v>799</v>
      </c>
      <c r="G146" t="str">
        <f>_xlfn.XLOOKUP(Tabla1[[#This Row],[SERIE]],'DATA IT'!D:D,'DATA IT'!G:G)</f>
        <v>RP4F</v>
      </c>
    </row>
  </sheetData>
  <sortState xmlns:xlrd2="http://schemas.microsoft.com/office/spreadsheetml/2017/richdata2" ref="A2:I129">
    <sortCondition ref="B1:B129"/>
  </sortState>
  <conditionalFormatting sqref="D1:G1">
    <cfRule type="duplicateValues" dxfId="5" priority="3"/>
  </conditionalFormatting>
  <conditionalFormatting sqref="H53 H116:H146 D1:G1048576">
    <cfRule type="duplicateValues" dxfId="4" priority="1"/>
  </conditionalFormatting>
  <conditionalFormatting sqref="H42:I47 H53 H116:H146 D1:G1048576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2670-75CB-4FB4-BAE6-120BA43307AB}">
  <dimension ref="A1:K175"/>
  <sheetViews>
    <sheetView topLeftCell="A144" workbookViewId="0">
      <selection activeCell="D2" sqref="D2:D175"/>
    </sheetView>
  </sheetViews>
  <sheetFormatPr baseColWidth="10" defaultRowHeight="14.5" x14ac:dyDescent="0.35"/>
  <cols>
    <col min="3" max="3" width="22.81640625" bestFit="1" customWidth="1"/>
    <col min="4" max="4" width="16.54296875" customWidth="1"/>
    <col min="5" max="5" width="16.54296875" hidden="1" customWidth="1"/>
    <col min="8" max="8" width="26.7265625" hidden="1" customWidth="1"/>
    <col min="9" max="9" width="15" hidden="1" customWidth="1"/>
    <col min="10" max="10" width="38.1796875" customWidth="1"/>
  </cols>
  <sheetData>
    <row r="1" spans="1:11" x14ac:dyDescent="0.35">
      <c r="A1" s="41" t="s">
        <v>428</v>
      </c>
      <c r="B1" s="41" t="s">
        <v>429</v>
      </c>
      <c r="C1" s="42" t="s">
        <v>430</v>
      </c>
      <c r="D1" s="42" t="s">
        <v>431</v>
      </c>
      <c r="E1" s="42"/>
      <c r="F1" s="42" t="s">
        <v>432</v>
      </c>
      <c r="G1" s="42" t="s">
        <v>433</v>
      </c>
      <c r="H1" s="42" t="s">
        <v>434</v>
      </c>
      <c r="I1" s="42" t="s">
        <v>435</v>
      </c>
      <c r="J1" s="43" t="s">
        <v>436</v>
      </c>
      <c r="K1" s="42" t="s">
        <v>797</v>
      </c>
    </row>
    <row r="2" spans="1:11" x14ac:dyDescent="0.35">
      <c r="A2" s="44">
        <v>283</v>
      </c>
      <c r="B2" t="s">
        <v>437</v>
      </c>
      <c r="C2" t="s">
        <v>438</v>
      </c>
      <c r="D2" s="45" t="s">
        <v>439</v>
      </c>
      <c r="E2" s="45"/>
      <c r="F2" s="45" t="s">
        <v>440</v>
      </c>
      <c r="G2" s="44" t="s">
        <v>441</v>
      </c>
      <c r="H2" s="46" t="s">
        <v>442</v>
      </c>
      <c r="I2" s="46" t="s">
        <v>443</v>
      </c>
      <c r="J2" s="20"/>
      <c r="K2" t="e">
        <f>_xlfn.XLOOKUP(D2,'Impresoras Julio 2026'!E:E,'Impresoras Julio 2026'!F:F)</f>
        <v>#N/A</v>
      </c>
    </row>
    <row r="3" spans="1:11" x14ac:dyDescent="0.35">
      <c r="A3" s="44">
        <v>284</v>
      </c>
      <c r="B3" t="s">
        <v>437</v>
      </c>
      <c r="C3" t="s">
        <v>444</v>
      </c>
      <c r="D3" s="45" t="s">
        <v>445</v>
      </c>
      <c r="E3" s="39" t="s">
        <v>445</v>
      </c>
      <c r="F3" s="45" t="s">
        <v>440</v>
      </c>
      <c r="G3" s="44" t="s">
        <v>441</v>
      </c>
      <c r="H3" s="46" t="s">
        <v>442</v>
      </c>
      <c r="I3" s="46" t="s">
        <v>443</v>
      </c>
      <c r="J3" s="20"/>
      <c r="K3" t="str">
        <f>_xlfn.XLOOKUP(D3,'Impresoras Julio 2026'!E:E,'Impresoras Julio 2026'!F:F)</f>
        <v>ok</v>
      </c>
    </row>
    <row r="4" spans="1:11" x14ac:dyDescent="0.35">
      <c r="A4" s="44">
        <v>285</v>
      </c>
      <c r="B4" t="s">
        <v>437</v>
      </c>
      <c r="C4" t="s">
        <v>446</v>
      </c>
      <c r="D4" s="45" t="s">
        <v>447</v>
      </c>
      <c r="E4" s="40" t="s">
        <v>447</v>
      </c>
      <c r="F4" s="45" t="s">
        <v>440</v>
      </c>
      <c r="G4" s="44" t="s">
        <v>441</v>
      </c>
      <c r="H4" s="46" t="s">
        <v>442</v>
      </c>
      <c r="I4" s="46" t="s">
        <v>443</v>
      </c>
      <c r="J4" s="20"/>
      <c r="K4" t="str">
        <f>_xlfn.XLOOKUP(D4,'Impresoras Julio 2026'!E:E,'Impresoras Julio 2026'!F:F)</f>
        <v>ok</v>
      </c>
    </row>
    <row r="5" spans="1:11" x14ac:dyDescent="0.35">
      <c r="A5" s="44">
        <v>286</v>
      </c>
      <c r="B5" t="s">
        <v>437</v>
      </c>
      <c r="C5" t="s">
        <v>448</v>
      </c>
      <c r="D5" s="45" t="s">
        <v>449</v>
      </c>
      <c r="E5" s="39" t="s">
        <v>449</v>
      </c>
      <c r="F5" s="45" t="s">
        <v>440</v>
      </c>
      <c r="G5" s="44" t="s">
        <v>441</v>
      </c>
      <c r="H5" s="46" t="s">
        <v>442</v>
      </c>
      <c r="I5" s="46" t="s">
        <v>443</v>
      </c>
      <c r="J5" s="20"/>
      <c r="K5" t="str">
        <f>_xlfn.XLOOKUP(D5,'Impresoras Julio 2026'!E:E,'Impresoras Julio 2026'!F:F)</f>
        <v>ok</v>
      </c>
    </row>
    <row r="6" spans="1:11" x14ac:dyDescent="0.35">
      <c r="A6" s="44">
        <v>287</v>
      </c>
      <c r="B6" t="s">
        <v>437</v>
      </c>
      <c r="C6" t="s">
        <v>450</v>
      </c>
      <c r="D6" s="45" t="s">
        <v>451</v>
      </c>
      <c r="E6" s="40" t="s">
        <v>451</v>
      </c>
      <c r="F6" s="45" t="s">
        <v>440</v>
      </c>
      <c r="G6" s="44" t="s">
        <v>441</v>
      </c>
      <c r="H6" s="46" t="s">
        <v>442</v>
      </c>
      <c r="I6" s="46" t="s">
        <v>443</v>
      </c>
      <c r="J6" s="20"/>
      <c r="K6" t="str">
        <f>_xlfn.XLOOKUP(D6,'Impresoras Julio 2026'!E:E,'Impresoras Julio 2026'!F:F)</f>
        <v>ok</v>
      </c>
    </row>
    <row r="7" spans="1:11" x14ac:dyDescent="0.35">
      <c r="A7" s="44">
        <v>288</v>
      </c>
      <c r="B7" t="s">
        <v>437</v>
      </c>
      <c r="C7" t="s">
        <v>452</v>
      </c>
      <c r="D7" s="45" t="s">
        <v>453</v>
      </c>
      <c r="E7" s="50" t="s">
        <v>453</v>
      </c>
      <c r="F7" s="45" t="s">
        <v>440</v>
      </c>
      <c r="G7" s="44" t="s">
        <v>441</v>
      </c>
      <c r="H7" s="46" t="s">
        <v>442</v>
      </c>
      <c r="I7" s="46" t="s">
        <v>443</v>
      </c>
      <c r="J7" s="20"/>
      <c r="K7" t="str">
        <f>_xlfn.XLOOKUP(D7,'Impresoras Julio 2026'!E:E,'Impresoras Julio 2026'!F:F)</f>
        <v>ok</v>
      </c>
    </row>
    <row r="8" spans="1:11" x14ac:dyDescent="0.35">
      <c r="A8" s="44">
        <v>289</v>
      </c>
      <c r="B8" t="s">
        <v>437</v>
      </c>
      <c r="C8" t="s">
        <v>454</v>
      </c>
      <c r="D8" s="45" t="s">
        <v>455</v>
      </c>
      <c r="E8" s="40" t="s">
        <v>455</v>
      </c>
      <c r="F8" s="45" t="s">
        <v>440</v>
      </c>
      <c r="G8" s="44" t="s">
        <v>441</v>
      </c>
      <c r="H8" s="46" t="s">
        <v>442</v>
      </c>
      <c r="I8" s="46" t="s">
        <v>443</v>
      </c>
      <c r="J8" s="20"/>
      <c r="K8" t="str">
        <f>_xlfn.XLOOKUP(D8,'Impresoras Julio 2026'!E:E,'Impresoras Julio 2026'!F:F)</f>
        <v>ok</v>
      </c>
    </row>
    <row r="9" spans="1:11" x14ac:dyDescent="0.35">
      <c r="A9" s="44">
        <v>290</v>
      </c>
      <c r="B9" t="s">
        <v>437</v>
      </c>
      <c r="C9" t="s">
        <v>456</v>
      </c>
      <c r="D9" s="45" t="s">
        <v>457</v>
      </c>
      <c r="E9" s="39" t="s">
        <v>457</v>
      </c>
      <c r="F9" s="45" t="s">
        <v>440</v>
      </c>
      <c r="G9" s="44" t="s">
        <v>441</v>
      </c>
      <c r="H9" s="46" t="s">
        <v>442</v>
      </c>
      <c r="I9" s="46" t="s">
        <v>443</v>
      </c>
      <c r="J9" s="20"/>
      <c r="K9" t="str">
        <f>_xlfn.XLOOKUP(D9,'Impresoras Julio 2026'!E:E,'Impresoras Julio 2026'!F:F)</f>
        <v>ok</v>
      </c>
    </row>
    <row r="10" spans="1:11" x14ac:dyDescent="0.35">
      <c r="A10" s="44">
        <v>291</v>
      </c>
      <c r="B10" t="s">
        <v>437</v>
      </c>
      <c r="C10" t="s">
        <v>458</v>
      </c>
      <c r="D10" s="45" t="s">
        <v>459</v>
      </c>
      <c r="E10" s="40" t="s">
        <v>459</v>
      </c>
      <c r="F10" s="45" t="s">
        <v>440</v>
      </c>
      <c r="G10" s="44" t="s">
        <v>441</v>
      </c>
      <c r="H10" s="46" t="s">
        <v>442</v>
      </c>
      <c r="I10" s="46" t="s">
        <v>443</v>
      </c>
      <c r="J10" s="20"/>
      <c r="K10" t="str">
        <f>_xlfn.XLOOKUP(D10,'Impresoras Julio 2026'!E:E,'Impresoras Julio 2026'!F:F)</f>
        <v>ok</v>
      </c>
    </row>
    <row r="11" spans="1:11" x14ac:dyDescent="0.35">
      <c r="A11" s="44">
        <v>292</v>
      </c>
      <c r="B11" t="s">
        <v>437</v>
      </c>
      <c r="C11" t="s">
        <v>460</v>
      </c>
      <c r="D11" s="45" t="s">
        <v>461</v>
      </c>
      <c r="E11" s="39" t="s">
        <v>461</v>
      </c>
      <c r="F11" s="45" t="s">
        <v>440</v>
      </c>
      <c r="G11" s="44" t="s">
        <v>441</v>
      </c>
      <c r="H11" s="46" t="s">
        <v>442</v>
      </c>
      <c r="I11" s="46" t="s">
        <v>443</v>
      </c>
      <c r="J11" s="20"/>
      <c r="K11" t="str">
        <f>_xlfn.XLOOKUP(D11,'Impresoras Julio 2026'!E:E,'Impresoras Julio 2026'!F:F)</f>
        <v>ok</v>
      </c>
    </row>
    <row r="12" spans="1:11" x14ac:dyDescent="0.35">
      <c r="A12" s="44">
        <v>293</v>
      </c>
      <c r="B12" t="s">
        <v>437</v>
      </c>
      <c r="C12" t="s">
        <v>462</v>
      </c>
      <c r="D12" s="45" t="s">
        <v>463</v>
      </c>
      <c r="E12" s="40" t="s">
        <v>463</v>
      </c>
      <c r="F12" s="45" t="s">
        <v>440</v>
      </c>
      <c r="G12" s="44" t="s">
        <v>441</v>
      </c>
      <c r="H12" s="46" t="s">
        <v>442</v>
      </c>
      <c r="I12" s="46" t="s">
        <v>443</v>
      </c>
      <c r="J12" s="20"/>
      <c r="K12" t="str">
        <f>_xlfn.XLOOKUP(D12,'Impresoras Julio 2026'!E:E,'Impresoras Julio 2026'!F:F)</f>
        <v>ok</v>
      </c>
    </row>
    <row r="13" spans="1:11" x14ac:dyDescent="0.35">
      <c r="A13" s="44">
        <v>294</v>
      </c>
      <c r="B13" t="s">
        <v>437</v>
      </c>
      <c r="C13" t="s">
        <v>464</v>
      </c>
      <c r="D13" s="45" t="s">
        <v>465</v>
      </c>
      <c r="E13" s="39" t="s">
        <v>465</v>
      </c>
      <c r="F13" s="45" t="s">
        <v>440</v>
      </c>
      <c r="G13" s="44" t="s">
        <v>441</v>
      </c>
      <c r="H13" s="46" t="s">
        <v>442</v>
      </c>
      <c r="I13" s="46" t="s">
        <v>443</v>
      </c>
      <c r="J13" s="20"/>
      <c r="K13" t="str">
        <f>_xlfn.XLOOKUP(D13,'Impresoras Julio 2026'!E:E,'Impresoras Julio 2026'!F:F)</f>
        <v>ok</v>
      </c>
    </row>
    <row r="14" spans="1:11" x14ac:dyDescent="0.35">
      <c r="A14" s="44">
        <v>295</v>
      </c>
      <c r="B14" t="s">
        <v>437</v>
      </c>
      <c r="C14" t="s">
        <v>466</v>
      </c>
      <c r="D14" s="45" t="s">
        <v>467</v>
      </c>
      <c r="F14" s="45" t="s">
        <v>440</v>
      </c>
      <c r="G14" s="44" t="s">
        <v>441</v>
      </c>
      <c r="H14" s="46" t="s">
        <v>442</v>
      </c>
      <c r="I14" s="46" t="s">
        <v>443</v>
      </c>
      <c r="J14" s="20"/>
      <c r="K14" t="e">
        <f>_xlfn.XLOOKUP(D14,'Impresoras Julio 2026'!E:E,'Impresoras Julio 2026'!F:F)</f>
        <v>#N/A</v>
      </c>
    </row>
    <row r="15" spans="1:11" x14ac:dyDescent="0.35">
      <c r="A15" s="44">
        <v>296</v>
      </c>
      <c r="B15" t="s">
        <v>437</v>
      </c>
      <c r="C15" t="s">
        <v>468</v>
      </c>
      <c r="D15" s="45" t="s">
        <v>469</v>
      </c>
      <c r="E15" s="40" t="s">
        <v>469</v>
      </c>
      <c r="F15" s="45" t="s">
        <v>440</v>
      </c>
      <c r="G15" s="44" t="s">
        <v>441</v>
      </c>
      <c r="H15" s="46" t="s">
        <v>442</v>
      </c>
      <c r="I15" s="46" t="s">
        <v>443</v>
      </c>
      <c r="J15" s="20"/>
      <c r="K15" t="str">
        <f>_xlfn.XLOOKUP(D15,'Impresoras Julio 2026'!E:E,'Impresoras Julio 2026'!F:F)</f>
        <v>ok</v>
      </c>
    </row>
    <row r="16" spans="1:11" x14ac:dyDescent="0.35">
      <c r="A16" s="44">
        <v>297</v>
      </c>
      <c r="B16" t="s">
        <v>437</v>
      </c>
      <c r="C16" t="s">
        <v>470</v>
      </c>
      <c r="D16" s="45" t="s">
        <v>471</v>
      </c>
      <c r="E16" s="39" t="s">
        <v>471</v>
      </c>
      <c r="F16" s="45" t="s">
        <v>440</v>
      </c>
      <c r="G16" s="44" t="s">
        <v>441</v>
      </c>
      <c r="H16" s="46" t="s">
        <v>442</v>
      </c>
      <c r="I16" s="46" t="s">
        <v>443</v>
      </c>
      <c r="J16" s="20"/>
      <c r="K16" t="str">
        <f>_xlfn.XLOOKUP(D16,'Impresoras Julio 2026'!E:E,'Impresoras Julio 2026'!F:F)</f>
        <v>ok</v>
      </c>
    </row>
    <row r="17" spans="1:11" x14ac:dyDescent="0.35">
      <c r="A17" s="44">
        <v>298</v>
      </c>
      <c r="B17" t="s">
        <v>437</v>
      </c>
      <c r="C17" t="s">
        <v>472</v>
      </c>
      <c r="D17" s="45" t="s">
        <v>473</v>
      </c>
      <c r="E17" s="40" t="s">
        <v>473</v>
      </c>
      <c r="F17" s="45" t="s">
        <v>440</v>
      </c>
      <c r="G17" s="44" t="s">
        <v>441</v>
      </c>
      <c r="H17" s="46" t="s">
        <v>442</v>
      </c>
      <c r="I17" s="46" t="s">
        <v>443</v>
      </c>
      <c r="J17" s="20"/>
      <c r="K17" t="str">
        <f>_xlfn.XLOOKUP(D17,'Impresoras Julio 2026'!E:E,'Impresoras Julio 2026'!F:F)</f>
        <v>ok</v>
      </c>
    </row>
    <row r="18" spans="1:11" x14ac:dyDescent="0.35">
      <c r="A18" s="44">
        <v>299</v>
      </c>
      <c r="B18" t="s">
        <v>437</v>
      </c>
      <c r="C18" t="s">
        <v>474</v>
      </c>
      <c r="D18" s="45" t="s">
        <v>475</v>
      </c>
      <c r="E18" s="39" t="s">
        <v>475</v>
      </c>
      <c r="F18" s="45" t="s">
        <v>440</v>
      </c>
      <c r="G18" s="44" t="s">
        <v>441</v>
      </c>
      <c r="H18" s="46" t="s">
        <v>442</v>
      </c>
      <c r="I18" s="46" t="s">
        <v>443</v>
      </c>
      <c r="J18" s="20"/>
      <c r="K18" t="str">
        <f>_xlfn.XLOOKUP(D18,'Impresoras Julio 2026'!E:E,'Impresoras Julio 2026'!F:F)</f>
        <v>ok</v>
      </c>
    </row>
    <row r="19" spans="1:11" x14ac:dyDescent="0.35">
      <c r="A19" s="44">
        <v>300</v>
      </c>
      <c r="B19" t="s">
        <v>437</v>
      </c>
      <c r="C19" t="s">
        <v>476</v>
      </c>
      <c r="D19" s="45" t="s">
        <v>477</v>
      </c>
      <c r="E19" s="40" t="s">
        <v>477</v>
      </c>
      <c r="F19" s="45" t="s">
        <v>440</v>
      </c>
      <c r="G19" s="44" t="s">
        <v>441</v>
      </c>
      <c r="H19" s="46" t="s">
        <v>442</v>
      </c>
      <c r="I19" s="46" t="s">
        <v>443</v>
      </c>
      <c r="J19" s="20"/>
      <c r="K19" t="str">
        <f>_xlfn.XLOOKUP(D19,'Impresoras Julio 2026'!E:E,'Impresoras Julio 2026'!F:F)</f>
        <v>ok</v>
      </c>
    </row>
    <row r="20" spans="1:11" x14ac:dyDescent="0.35">
      <c r="A20" s="44">
        <v>301</v>
      </c>
      <c r="B20" t="s">
        <v>437</v>
      </c>
      <c r="C20" t="s">
        <v>478</v>
      </c>
      <c r="D20" s="45" t="s">
        <v>479</v>
      </c>
      <c r="F20" s="45" t="s">
        <v>440</v>
      </c>
      <c r="G20" s="44" t="s">
        <v>441</v>
      </c>
      <c r="H20" s="46" t="s">
        <v>442</v>
      </c>
      <c r="I20" s="46" t="s">
        <v>443</v>
      </c>
      <c r="J20" s="20"/>
      <c r="K20" t="e">
        <f>_xlfn.XLOOKUP(D20,'Impresoras Julio 2026'!E:E,'Impresoras Julio 2026'!F:F)</f>
        <v>#N/A</v>
      </c>
    </row>
    <row r="21" spans="1:11" x14ac:dyDescent="0.35">
      <c r="A21" s="44">
        <v>302</v>
      </c>
      <c r="B21" t="s">
        <v>437</v>
      </c>
      <c r="C21" t="s">
        <v>480</v>
      </c>
      <c r="D21" s="45" t="s">
        <v>481</v>
      </c>
      <c r="E21" s="39" t="s">
        <v>481</v>
      </c>
      <c r="F21" s="45" t="s">
        <v>440</v>
      </c>
      <c r="G21" s="44" t="s">
        <v>441</v>
      </c>
      <c r="H21" s="46" t="s">
        <v>442</v>
      </c>
      <c r="I21" s="46" t="s">
        <v>443</v>
      </c>
      <c r="J21" s="20"/>
      <c r="K21" t="str">
        <f>_xlfn.XLOOKUP(D21,'Impresoras Julio 2026'!E:E,'Impresoras Julio 2026'!F:F)</f>
        <v>ok</v>
      </c>
    </row>
    <row r="22" spans="1:11" x14ac:dyDescent="0.35">
      <c r="A22" s="44">
        <v>303</v>
      </c>
      <c r="B22" t="s">
        <v>437</v>
      </c>
      <c r="C22" t="s">
        <v>482</v>
      </c>
      <c r="D22" s="45" t="s">
        <v>483</v>
      </c>
      <c r="F22" s="45" t="s">
        <v>440</v>
      </c>
      <c r="G22" s="44" t="s">
        <v>441</v>
      </c>
      <c r="H22" s="46" t="s">
        <v>442</v>
      </c>
      <c r="I22" s="46" t="s">
        <v>443</v>
      </c>
      <c r="J22" s="20"/>
      <c r="K22" t="e">
        <f>_xlfn.XLOOKUP(D22,'Impresoras Julio 2026'!E:E,'Impresoras Julio 2026'!F:F)</f>
        <v>#N/A</v>
      </c>
    </row>
    <row r="23" spans="1:11" x14ac:dyDescent="0.35">
      <c r="A23" s="44">
        <v>304</v>
      </c>
      <c r="B23" t="s">
        <v>437</v>
      </c>
      <c r="C23" t="s">
        <v>484</v>
      </c>
      <c r="D23" s="45" t="s">
        <v>485</v>
      </c>
      <c r="F23" s="45" t="s">
        <v>440</v>
      </c>
      <c r="G23" s="44" t="s">
        <v>441</v>
      </c>
      <c r="H23" s="46" t="s">
        <v>442</v>
      </c>
      <c r="I23" s="46" t="s">
        <v>443</v>
      </c>
      <c r="J23" s="20"/>
      <c r="K23" t="e">
        <f>_xlfn.XLOOKUP(D23,'Impresoras Julio 2026'!E:E,'Impresoras Julio 2026'!F:F)</f>
        <v>#N/A</v>
      </c>
    </row>
    <row r="24" spans="1:11" x14ac:dyDescent="0.35">
      <c r="A24" s="44">
        <v>305</v>
      </c>
      <c r="B24" t="s">
        <v>437</v>
      </c>
      <c r="C24" t="s">
        <v>486</v>
      </c>
      <c r="D24" s="45" t="s">
        <v>487</v>
      </c>
      <c r="E24" s="40" t="s">
        <v>487</v>
      </c>
      <c r="F24" s="45" t="s">
        <v>440</v>
      </c>
      <c r="G24" s="44" t="s">
        <v>441</v>
      </c>
      <c r="H24" s="46" t="s">
        <v>442</v>
      </c>
      <c r="I24" s="46" t="s">
        <v>443</v>
      </c>
      <c r="J24" s="20"/>
      <c r="K24" t="str">
        <f>_xlfn.XLOOKUP(D24,'Impresoras Julio 2026'!E:E,'Impresoras Julio 2026'!F:F)</f>
        <v>ok</v>
      </c>
    </row>
    <row r="25" spans="1:11" x14ac:dyDescent="0.35">
      <c r="A25" s="44">
        <v>306</v>
      </c>
      <c r="B25" t="s">
        <v>437</v>
      </c>
      <c r="C25" t="s">
        <v>488</v>
      </c>
      <c r="D25" s="45" t="s">
        <v>489</v>
      </c>
      <c r="E25" s="39" t="s">
        <v>489</v>
      </c>
      <c r="F25" s="45" t="s">
        <v>440</v>
      </c>
      <c r="G25" s="44" t="s">
        <v>441</v>
      </c>
      <c r="H25" s="46" t="s">
        <v>442</v>
      </c>
      <c r="I25" s="46" t="s">
        <v>443</v>
      </c>
      <c r="J25" s="20"/>
      <c r="K25" t="str">
        <f>_xlfn.XLOOKUP(D25,'Impresoras Julio 2026'!E:E,'Impresoras Julio 2026'!F:F)</f>
        <v>ok</v>
      </c>
    </row>
    <row r="26" spans="1:11" x14ac:dyDescent="0.35">
      <c r="A26" s="44">
        <v>307</v>
      </c>
      <c r="B26" t="s">
        <v>437</v>
      </c>
      <c r="C26" t="s">
        <v>490</v>
      </c>
      <c r="D26" s="45" t="s">
        <v>491</v>
      </c>
      <c r="E26" s="40" t="s">
        <v>491</v>
      </c>
      <c r="F26" s="45" t="s">
        <v>440</v>
      </c>
      <c r="G26" s="44" t="s">
        <v>441</v>
      </c>
      <c r="H26" s="46" t="s">
        <v>442</v>
      </c>
      <c r="I26" s="46" t="s">
        <v>443</v>
      </c>
      <c r="J26" s="20"/>
      <c r="K26" t="str">
        <f>_xlfn.XLOOKUP(D26,'Impresoras Julio 2026'!E:E,'Impresoras Julio 2026'!F:F)</f>
        <v>ok</v>
      </c>
    </row>
    <row r="27" spans="1:11" x14ac:dyDescent="0.35">
      <c r="A27" s="44">
        <v>308</v>
      </c>
      <c r="B27" t="s">
        <v>437</v>
      </c>
      <c r="C27" t="s">
        <v>492</v>
      </c>
      <c r="D27" s="45" t="s">
        <v>493</v>
      </c>
      <c r="E27" s="39" t="s">
        <v>493</v>
      </c>
      <c r="F27" s="45" t="s">
        <v>440</v>
      </c>
      <c r="G27" s="44" t="s">
        <v>441</v>
      </c>
      <c r="H27" s="46" t="s">
        <v>442</v>
      </c>
      <c r="I27" s="46" t="s">
        <v>443</v>
      </c>
      <c r="J27" s="20"/>
      <c r="K27" t="str">
        <f>_xlfn.XLOOKUP(D27,'Impresoras Julio 2026'!E:E,'Impresoras Julio 2026'!F:F)</f>
        <v>ok</v>
      </c>
    </row>
    <row r="28" spans="1:11" x14ac:dyDescent="0.35">
      <c r="A28" s="44">
        <v>309</v>
      </c>
      <c r="B28" t="s">
        <v>437</v>
      </c>
      <c r="C28" t="s">
        <v>494</v>
      </c>
      <c r="D28" s="45" t="s">
        <v>495</v>
      </c>
      <c r="F28" s="45" t="s">
        <v>440</v>
      </c>
      <c r="G28" s="44" t="s">
        <v>441</v>
      </c>
      <c r="H28" s="46" t="s">
        <v>442</v>
      </c>
      <c r="I28" s="46" t="s">
        <v>443</v>
      </c>
      <c r="J28" s="20"/>
      <c r="K28" t="e">
        <f>_xlfn.XLOOKUP(D28,'Impresoras Julio 2026'!E:E,'Impresoras Julio 2026'!F:F)</f>
        <v>#N/A</v>
      </c>
    </row>
    <row r="29" spans="1:11" x14ac:dyDescent="0.35">
      <c r="A29" s="44">
        <v>310</v>
      </c>
      <c r="B29" t="s">
        <v>437</v>
      </c>
      <c r="C29" t="s">
        <v>496</v>
      </c>
      <c r="D29" s="45" t="s">
        <v>497</v>
      </c>
      <c r="F29" s="45" t="s">
        <v>440</v>
      </c>
      <c r="G29" s="44" t="s">
        <v>441</v>
      </c>
      <c r="H29" s="46" t="s">
        <v>442</v>
      </c>
      <c r="I29" s="46" t="s">
        <v>443</v>
      </c>
      <c r="J29" s="20"/>
      <c r="K29" t="e">
        <f>_xlfn.XLOOKUP(D29,'Impresoras Julio 2026'!E:E,'Impresoras Julio 2026'!F:F)</f>
        <v>#N/A</v>
      </c>
    </row>
    <row r="30" spans="1:11" x14ac:dyDescent="0.35">
      <c r="A30" s="44">
        <v>311</v>
      </c>
      <c r="B30" t="s">
        <v>437</v>
      </c>
      <c r="C30" t="s">
        <v>498</v>
      </c>
      <c r="D30" s="45" t="s">
        <v>499</v>
      </c>
      <c r="F30" s="45" t="s">
        <v>440</v>
      </c>
      <c r="G30" s="44" t="s">
        <v>441</v>
      </c>
      <c r="H30" s="46" t="s">
        <v>442</v>
      </c>
      <c r="I30" s="46" t="s">
        <v>443</v>
      </c>
      <c r="J30" s="20"/>
      <c r="K30" t="e">
        <f>_xlfn.XLOOKUP(D30,'Impresoras Julio 2026'!E:E,'Impresoras Julio 2026'!F:F)</f>
        <v>#N/A</v>
      </c>
    </row>
    <row r="31" spans="1:11" x14ac:dyDescent="0.35">
      <c r="A31" s="44">
        <v>312</v>
      </c>
      <c r="B31" t="s">
        <v>437</v>
      </c>
      <c r="C31" t="s">
        <v>500</v>
      </c>
      <c r="D31" s="45" t="s">
        <v>501</v>
      </c>
      <c r="E31" s="40" t="s">
        <v>802</v>
      </c>
      <c r="F31" s="45" t="s">
        <v>440</v>
      </c>
      <c r="G31" s="44" t="s">
        <v>441</v>
      </c>
      <c r="H31" s="46" t="s">
        <v>442</v>
      </c>
      <c r="I31" s="46" t="s">
        <v>443</v>
      </c>
      <c r="J31" s="20"/>
      <c r="K31" t="str">
        <f>_xlfn.XLOOKUP(D31,'Impresoras Julio 2026'!E:E,'Impresoras Julio 2026'!F:F)</f>
        <v>ok</v>
      </c>
    </row>
    <row r="32" spans="1:11" x14ac:dyDescent="0.35">
      <c r="A32" s="44">
        <v>313</v>
      </c>
      <c r="B32" t="s">
        <v>437</v>
      </c>
      <c r="C32" t="s">
        <v>502</v>
      </c>
      <c r="D32" s="45" t="s">
        <v>503</v>
      </c>
      <c r="E32" s="39" t="s">
        <v>503</v>
      </c>
      <c r="F32" s="45" t="s">
        <v>440</v>
      </c>
      <c r="G32" s="44" t="s">
        <v>441</v>
      </c>
      <c r="H32" s="46" t="s">
        <v>442</v>
      </c>
      <c r="I32" s="46" t="s">
        <v>443</v>
      </c>
      <c r="J32" s="20"/>
      <c r="K32" t="str">
        <f>_xlfn.XLOOKUP(D32,'Impresoras Julio 2026'!E:E,'Impresoras Julio 2026'!F:F)</f>
        <v>ok</v>
      </c>
    </row>
    <row r="33" spans="1:11" x14ac:dyDescent="0.35">
      <c r="A33" s="44">
        <v>314</v>
      </c>
      <c r="B33" t="s">
        <v>437</v>
      </c>
      <c r="C33" t="s">
        <v>504</v>
      </c>
      <c r="D33" s="45" t="s">
        <v>505</v>
      </c>
      <c r="F33" s="45" t="s">
        <v>440</v>
      </c>
      <c r="G33" s="44" t="s">
        <v>441</v>
      </c>
      <c r="H33" s="46" t="s">
        <v>442</v>
      </c>
      <c r="I33" s="46" t="s">
        <v>443</v>
      </c>
      <c r="J33" s="20"/>
      <c r="K33" t="e">
        <f>_xlfn.XLOOKUP(D33,'Impresoras Julio 2026'!E:E,'Impresoras Julio 2026'!F:F)</f>
        <v>#N/A</v>
      </c>
    </row>
    <row r="34" spans="1:11" x14ac:dyDescent="0.35">
      <c r="A34" s="44">
        <v>315</v>
      </c>
      <c r="B34" t="s">
        <v>437</v>
      </c>
      <c r="C34" t="s">
        <v>506</v>
      </c>
      <c r="D34" s="45" t="s">
        <v>507</v>
      </c>
      <c r="E34" s="40" t="s">
        <v>507</v>
      </c>
      <c r="F34" s="45" t="s">
        <v>440</v>
      </c>
      <c r="G34" s="44" t="s">
        <v>441</v>
      </c>
      <c r="H34" s="46" t="s">
        <v>442</v>
      </c>
      <c r="I34" s="46" t="s">
        <v>443</v>
      </c>
      <c r="J34" s="20"/>
      <c r="K34" t="str">
        <f>_xlfn.XLOOKUP(D34,'Impresoras Julio 2026'!E:E,'Impresoras Julio 2026'!F:F)</f>
        <v>ok</v>
      </c>
    </row>
    <row r="35" spans="1:11" x14ac:dyDescent="0.35">
      <c r="A35" s="44">
        <v>316</v>
      </c>
      <c r="B35" t="s">
        <v>437</v>
      </c>
      <c r="C35" t="s">
        <v>508</v>
      </c>
      <c r="D35" s="45" t="s">
        <v>509</v>
      </c>
      <c r="E35" s="39" t="s">
        <v>509</v>
      </c>
      <c r="F35" s="45" t="s">
        <v>440</v>
      </c>
      <c r="G35" s="44" t="s">
        <v>441</v>
      </c>
      <c r="H35" s="46" t="s">
        <v>442</v>
      </c>
      <c r="I35" s="46" t="s">
        <v>443</v>
      </c>
      <c r="J35" s="20"/>
      <c r="K35" t="str">
        <f>_xlfn.XLOOKUP(D35,'Impresoras Julio 2026'!E:E,'Impresoras Julio 2026'!F:F)</f>
        <v>ok</v>
      </c>
    </row>
    <row r="36" spans="1:11" x14ac:dyDescent="0.35">
      <c r="A36" s="44">
        <v>317</v>
      </c>
      <c r="B36" t="s">
        <v>437</v>
      </c>
      <c r="C36" t="s">
        <v>510</v>
      </c>
      <c r="D36" s="45" t="s">
        <v>511</v>
      </c>
      <c r="E36" s="40" t="s">
        <v>803</v>
      </c>
      <c r="F36" s="45" t="s">
        <v>440</v>
      </c>
      <c r="G36" s="44" t="s">
        <v>441</v>
      </c>
      <c r="H36" s="46" t="s">
        <v>442</v>
      </c>
      <c r="I36" s="46" t="s">
        <v>443</v>
      </c>
      <c r="J36" s="20"/>
      <c r="K36" t="str">
        <f>_xlfn.XLOOKUP(D36,'Impresoras Julio 2026'!E:E,'Impresoras Julio 2026'!F:F)</f>
        <v>ok</v>
      </c>
    </row>
    <row r="37" spans="1:11" x14ac:dyDescent="0.35">
      <c r="A37" s="44">
        <v>318</v>
      </c>
      <c r="B37" t="s">
        <v>437</v>
      </c>
      <c r="C37" t="s">
        <v>512</v>
      </c>
      <c r="D37" s="45" t="s">
        <v>513</v>
      </c>
      <c r="E37" s="39" t="s">
        <v>513</v>
      </c>
      <c r="F37" s="45" t="s">
        <v>440</v>
      </c>
      <c r="G37" s="44" t="s">
        <v>441</v>
      </c>
      <c r="H37" s="46" t="s">
        <v>442</v>
      </c>
      <c r="I37" s="46" t="s">
        <v>443</v>
      </c>
      <c r="J37" s="20"/>
      <c r="K37" t="str">
        <f>_xlfn.XLOOKUP(D37,'Impresoras Julio 2026'!E:E,'Impresoras Julio 2026'!F:F)</f>
        <v>ok</v>
      </c>
    </row>
    <row r="38" spans="1:11" x14ac:dyDescent="0.35">
      <c r="A38" s="44">
        <v>319</v>
      </c>
      <c r="B38" t="s">
        <v>437</v>
      </c>
      <c r="C38" t="s">
        <v>514</v>
      </c>
      <c r="D38" s="45" t="s">
        <v>515</v>
      </c>
      <c r="E38" s="40" t="s">
        <v>804</v>
      </c>
      <c r="F38" s="45" t="s">
        <v>440</v>
      </c>
      <c r="G38" s="44" t="s">
        <v>441</v>
      </c>
      <c r="H38" s="46" t="s">
        <v>442</v>
      </c>
      <c r="I38" s="46" t="s">
        <v>443</v>
      </c>
      <c r="J38" s="20"/>
      <c r="K38" t="str">
        <f>_xlfn.XLOOKUP(D38,'Impresoras Julio 2026'!E:E,'Impresoras Julio 2026'!F:F)</f>
        <v>ok</v>
      </c>
    </row>
    <row r="39" spans="1:11" x14ac:dyDescent="0.35">
      <c r="A39" s="44">
        <v>320</v>
      </c>
      <c r="B39" t="s">
        <v>437</v>
      </c>
      <c r="C39" t="s">
        <v>516</v>
      </c>
      <c r="D39" s="45" t="s">
        <v>517</v>
      </c>
      <c r="F39" s="45" t="s">
        <v>440</v>
      </c>
      <c r="G39" s="44" t="s">
        <v>441</v>
      </c>
      <c r="H39" s="46" t="s">
        <v>442</v>
      </c>
      <c r="I39" s="46" t="s">
        <v>443</v>
      </c>
      <c r="J39" s="20"/>
      <c r="K39" t="e">
        <f>_xlfn.XLOOKUP(D39,'Impresoras Julio 2026'!E:E,'Impresoras Julio 2026'!F:F)</f>
        <v>#N/A</v>
      </c>
    </row>
    <row r="40" spans="1:11" x14ac:dyDescent="0.35">
      <c r="A40" s="44">
        <v>321</v>
      </c>
      <c r="B40" t="s">
        <v>437</v>
      </c>
      <c r="C40" t="s">
        <v>518</v>
      </c>
      <c r="D40" s="45" t="s">
        <v>519</v>
      </c>
      <c r="F40" s="45" t="s">
        <v>440</v>
      </c>
      <c r="G40" s="44" t="s">
        <v>441</v>
      </c>
      <c r="H40" s="46" t="s">
        <v>442</v>
      </c>
      <c r="I40" s="46" t="s">
        <v>443</v>
      </c>
      <c r="J40" s="20"/>
      <c r="K40" t="e">
        <f>_xlfn.XLOOKUP(D40,'Impresoras Julio 2026'!E:E,'Impresoras Julio 2026'!F:F)</f>
        <v>#N/A</v>
      </c>
    </row>
    <row r="41" spans="1:11" x14ac:dyDescent="0.35">
      <c r="A41" s="44">
        <v>322</v>
      </c>
      <c r="B41" t="s">
        <v>437</v>
      </c>
      <c r="C41" t="s">
        <v>520</v>
      </c>
      <c r="D41" s="45" t="s">
        <v>521</v>
      </c>
      <c r="E41" s="39" t="s">
        <v>521</v>
      </c>
      <c r="F41" s="45" t="s">
        <v>440</v>
      </c>
      <c r="G41" s="44" t="s">
        <v>441</v>
      </c>
      <c r="H41" s="46" t="s">
        <v>442</v>
      </c>
      <c r="I41" s="46" t="s">
        <v>443</v>
      </c>
      <c r="J41" s="20"/>
      <c r="K41" t="str">
        <f>_xlfn.XLOOKUP(D41,'Impresoras Julio 2026'!E:E,'Impresoras Julio 2026'!F:F)</f>
        <v>ok</v>
      </c>
    </row>
    <row r="42" spans="1:11" x14ac:dyDescent="0.35">
      <c r="A42" s="44">
        <v>323</v>
      </c>
      <c r="B42" t="s">
        <v>437</v>
      </c>
      <c r="C42" t="s">
        <v>522</v>
      </c>
      <c r="D42" s="45" t="s">
        <v>523</v>
      </c>
      <c r="E42" s="40" t="s">
        <v>523</v>
      </c>
      <c r="F42" s="45" t="s">
        <v>440</v>
      </c>
      <c r="G42" s="44" t="s">
        <v>441</v>
      </c>
      <c r="H42" s="46" t="s">
        <v>442</v>
      </c>
      <c r="I42" s="46" t="s">
        <v>443</v>
      </c>
      <c r="J42" s="20"/>
      <c r="K42" t="str">
        <f>_xlfn.XLOOKUP(D42,'Impresoras Julio 2026'!E:E,'Impresoras Julio 2026'!F:F)</f>
        <v>ok</v>
      </c>
    </row>
    <row r="43" spans="1:11" x14ac:dyDescent="0.35">
      <c r="A43" s="44">
        <v>324</v>
      </c>
      <c r="B43" t="s">
        <v>437</v>
      </c>
      <c r="C43" t="s">
        <v>524</v>
      </c>
      <c r="D43" s="45" t="s">
        <v>525</v>
      </c>
      <c r="E43" s="39" t="s">
        <v>525</v>
      </c>
      <c r="F43" s="45" t="s">
        <v>440</v>
      </c>
      <c r="G43" s="44" t="s">
        <v>441</v>
      </c>
      <c r="H43" s="46" t="s">
        <v>442</v>
      </c>
      <c r="I43" s="46" t="s">
        <v>443</v>
      </c>
      <c r="J43" s="20"/>
      <c r="K43" t="str">
        <f>_xlfn.XLOOKUP(D43,'Impresoras Julio 2026'!E:E,'Impresoras Julio 2026'!F:F)</f>
        <v>ok</v>
      </c>
    </row>
    <row r="44" spans="1:11" x14ac:dyDescent="0.35">
      <c r="A44" s="44">
        <v>325</v>
      </c>
      <c r="B44" t="s">
        <v>437</v>
      </c>
      <c r="C44" t="s">
        <v>526</v>
      </c>
      <c r="D44" s="45" t="s">
        <v>527</v>
      </c>
      <c r="E44" s="40" t="s">
        <v>527</v>
      </c>
      <c r="F44" s="45" t="s">
        <v>440</v>
      </c>
      <c r="G44" s="44" t="s">
        <v>441</v>
      </c>
      <c r="H44" s="46" t="s">
        <v>442</v>
      </c>
      <c r="I44" s="46" t="s">
        <v>443</v>
      </c>
      <c r="J44" s="20"/>
      <c r="K44" t="str">
        <f>_xlfn.XLOOKUP(D44,'Impresoras Julio 2026'!E:E,'Impresoras Julio 2026'!F:F)</f>
        <v>ok</v>
      </c>
    </row>
    <row r="45" spans="1:11" x14ac:dyDescent="0.35">
      <c r="A45" s="44">
        <v>326</v>
      </c>
      <c r="B45" t="s">
        <v>437</v>
      </c>
      <c r="C45" t="s">
        <v>528</v>
      </c>
      <c r="D45" s="45" t="s">
        <v>529</v>
      </c>
      <c r="E45" s="39" t="s">
        <v>529</v>
      </c>
      <c r="F45" s="45" t="s">
        <v>440</v>
      </c>
      <c r="G45" s="44" t="s">
        <v>441</v>
      </c>
      <c r="H45" s="46" t="s">
        <v>442</v>
      </c>
      <c r="I45" s="46" t="s">
        <v>443</v>
      </c>
      <c r="J45" s="20"/>
      <c r="K45" t="str">
        <f>_xlfn.XLOOKUP(D45,'Impresoras Julio 2026'!E:E,'Impresoras Julio 2026'!F:F)</f>
        <v>ok</v>
      </c>
    </row>
    <row r="46" spans="1:11" x14ac:dyDescent="0.35">
      <c r="A46" s="44">
        <v>327</v>
      </c>
      <c r="B46" t="s">
        <v>437</v>
      </c>
      <c r="C46" t="s">
        <v>530</v>
      </c>
      <c r="D46" s="45" t="s">
        <v>531</v>
      </c>
      <c r="E46" s="40" t="s">
        <v>531</v>
      </c>
      <c r="F46" s="45" t="s">
        <v>440</v>
      </c>
      <c r="G46" s="44" t="s">
        <v>441</v>
      </c>
      <c r="H46" s="46" t="s">
        <v>442</v>
      </c>
      <c r="I46" s="46" t="s">
        <v>443</v>
      </c>
      <c r="J46" s="20"/>
      <c r="K46" t="str">
        <f>_xlfn.XLOOKUP(D46,'Impresoras Julio 2026'!E:E,'Impresoras Julio 2026'!F:F)</f>
        <v>ok</v>
      </c>
    </row>
    <row r="47" spans="1:11" x14ac:dyDescent="0.35">
      <c r="A47" s="44">
        <v>328</v>
      </c>
      <c r="B47" t="s">
        <v>437</v>
      </c>
      <c r="C47" t="s">
        <v>532</v>
      </c>
      <c r="D47" s="45" t="s">
        <v>533</v>
      </c>
      <c r="E47" s="39" t="s">
        <v>533</v>
      </c>
      <c r="F47" s="45" t="s">
        <v>440</v>
      </c>
      <c r="G47" s="44" t="s">
        <v>441</v>
      </c>
      <c r="H47" s="46" t="s">
        <v>442</v>
      </c>
      <c r="I47" s="46" t="s">
        <v>443</v>
      </c>
      <c r="J47" s="20"/>
      <c r="K47" t="str">
        <f>_xlfn.XLOOKUP(D47,'Impresoras Julio 2026'!E:E,'Impresoras Julio 2026'!F:F)</f>
        <v>ok</v>
      </c>
    </row>
    <row r="48" spans="1:11" x14ac:dyDescent="0.35">
      <c r="A48" s="44">
        <v>329</v>
      </c>
      <c r="B48" t="s">
        <v>437</v>
      </c>
      <c r="C48" t="s">
        <v>534</v>
      </c>
      <c r="D48" s="45" t="s">
        <v>535</v>
      </c>
      <c r="E48" s="40" t="s">
        <v>535</v>
      </c>
      <c r="F48" s="45" t="s">
        <v>440</v>
      </c>
      <c r="G48" s="44" t="s">
        <v>441</v>
      </c>
      <c r="H48" s="46" t="s">
        <v>442</v>
      </c>
      <c r="I48" s="46" t="s">
        <v>443</v>
      </c>
      <c r="J48" s="20"/>
      <c r="K48" t="str">
        <f>_xlfn.XLOOKUP(D48,'Impresoras Julio 2026'!E:E,'Impresoras Julio 2026'!F:F)</f>
        <v>ok</v>
      </c>
    </row>
    <row r="49" spans="1:11" x14ac:dyDescent="0.35">
      <c r="A49" s="44">
        <v>330</v>
      </c>
      <c r="B49" t="s">
        <v>437</v>
      </c>
      <c r="C49" t="s">
        <v>536</v>
      </c>
      <c r="D49" s="45" t="s">
        <v>537</v>
      </c>
      <c r="E49" s="39" t="s">
        <v>537</v>
      </c>
      <c r="F49" s="45" t="s">
        <v>440</v>
      </c>
      <c r="G49" s="44" t="s">
        <v>441</v>
      </c>
      <c r="H49" s="46" t="s">
        <v>442</v>
      </c>
      <c r="I49" s="46" t="s">
        <v>443</v>
      </c>
      <c r="J49" s="20"/>
      <c r="K49" t="str">
        <f>_xlfn.XLOOKUP(D49,'Impresoras Julio 2026'!E:E,'Impresoras Julio 2026'!F:F)</f>
        <v>ok</v>
      </c>
    </row>
    <row r="50" spans="1:11" x14ac:dyDescent="0.35">
      <c r="A50" s="44">
        <v>331</v>
      </c>
      <c r="B50" t="s">
        <v>437</v>
      </c>
      <c r="C50" t="s">
        <v>538</v>
      </c>
      <c r="D50" s="45" t="s">
        <v>539</v>
      </c>
      <c r="E50" s="40" t="s">
        <v>539</v>
      </c>
      <c r="F50" s="45" t="s">
        <v>440</v>
      </c>
      <c r="G50" s="44" t="s">
        <v>441</v>
      </c>
      <c r="H50" s="46" t="s">
        <v>442</v>
      </c>
      <c r="I50" s="46" t="s">
        <v>443</v>
      </c>
      <c r="J50" s="20"/>
      <c r="K50" t="str">
        <f>_xlfn.XLOOKUP(D50,'Impresoras Julio 2026'!E:E,'Impresoras Julio 2026'!F:F)</f>
        <v>ok</v>
      </c>
    </row>
    <row r="51" spans="1:11" x14ac:dyDescent="0.35">
      <c r="A51" s="44">
        <v>332</v>
      </c>
      <c r="B51" t="s">
        <v>437</v>
      </c>
      <c r="C51" t="s">
        <v>540</v>
      </c>
      <c r="D51" s="45" t="s">
        <v>541</v>
      </c>
      <c r="E51" s="39" t="s">
        <v>541</v>
      </c>
      <c r="F51" s="45" t="s">
        <v>440</v>
      </c>
      <c r="G51" s="44" t="s">
        <v>441</v>
      </c>
      <c r="H51" s="46" t="s">
        <v>442</v>
      </c>
      <c r="I51" s="46" t="s">
        <v>443</v>
      </c>
      <c r="J51" s="20"/>
      <c r="K51" t="str">
        <f>_xlfn.XLOOKUP(D51,'Impresoras Julio 2026'!E:E,'Impresoras Julio 2026'!F:F)</f>
        <v>ok</v>
      </c>
    </row>
    <row r="52" spans="1:11" x14ac:dyDescent="0.35">
      <c r="A52" s="44">
        <v>333</v>
      </c>
      <c r="B52" t="s">
        <v>437</v>
      </c>
      <c r="C52" t="s">
        <v>542</v>
      </c>
      <c r="D52" s="45" t="s">
        <v>543</v>
      </c>
      <c r="E52" s="40" t="s">
        <v>543</v>
      </c>
      <c r="F52" s="45" t="s">
        <v>440</v>
      </c>
      <c r="G52" s="44" t="s">
        <v>441</v>
      </c>
      <c r="H52" s="46" t="s">
        <v>442</v>
      </c>
      <c r="I52" s="46" t="s">
        <v>443</v>
      </c>
      <c r="J52" s="20"/>
      <c r="K52" t="str">
        <f>_xlfn.XLOOKUP(D52,'Impresoras Julio 2026'!E:E,'Impresoras Julio 2026'!F:F)</f>
        <v>ok</v>
      </c>
    </row>
    <row r="53" spans="1:11" x14ac:dyDescent="0.35">
      <c r="A53" s="44">
        <v>334</v>
      </c>
      <c r="B53" t="s">
        <v>437</v>
      </c>
      <c r="C53" t="s">
        <v>544</v>
      </c>
      <c r="D53" s="45" t="s">
        <v>545</v>
      </c>
      <c r="E53" s="39" t="s">
        <v>545</v>
      </c>
      <c r="F53" s="45" t="s">
        <v>440</v>
      </c>
      <c r="G53" s="44" t="s">
        <v>441</v>
      </c>
      <c r="H53" s="46" t="s">
        <v>442</v>
      </c>
      <c r="I53" s="46" t="s">
        <v>443</v>
      </c>
      <c r="J53" s="20"/>
      <c r="K53" t="str">
        <f>_xlfn.XLOOKUP(D53,'Impresoras Julio 2026'!E:E,'Impresoras Julio 2026'!F:F)</f>
        <v>ok</v>
      </c>
    </row>
    <row r="54" spans="1:11" x14ac:dyDescent="0.35">
      <c r="A54" s="44">
        <v>335</v>
      </c>
      <c r="B54" t="s">
        <v>437</v>
      </c>
      <c r="C54" t="s">
        <v>546</v>
      </c>
      <c r="D54" s="45" t="s">
        <v>547</v>
      </c>
      <c r="F54" s="45" t="s">
        <v>440</v>
      </c>
      <c r="G54" s="44" t="s">
        <v>441</v>
      </c>
      <c r="H54" s="46" t="s">
        <v>442</v>
      </c>
      <c r="I54" s="46" t="s">
        <v>443</v>
      </c>
      <c r="J54" s="20"/>
      <c r="K54" t="e">
        <f>_xlfn.XLOOKUP(D54,'Impresoras Julio 2026'!E:E,'Impresoras Julio 2026'!F:F)</f>
        <v>#N/A</v>
      </c>
    </row>
    <row r="55" spans="1:11" x14ac:dyDescent="0.35">
      <c r="A55" s="44">
        <v>336</v>
      </c>
      <c r="B55" t="s">
        <v>437</v>
      </c>
      <c r="C55" t="s">
        <v>548</v>
      </c>
      <c r="D55" s="45" t="s">
        <v>549</v>
      </c>
      <c r="E55" s="40" t="s">
        <v>549</v>
      </c>
      <c r="F55" s="45" t="s">
        <v>440</v>
      </c>
      <c r="G55" s="44" t="s">
        <v>441</v>
      </c>
      <c r="H55" s="46" t="s">
        <v>442</v>
      </c>
      <c r="I55" s="46" t="s">
        <v>443</v>
      </c>
      <c r="J55" s="20"/>
      <c r="K55" t="str">
        <f>_xlfn.XLOOKUP(D55,'Impresoras Julio 2026'!E:E,'Impresoras Julio 2026'!F:F)</f>
        <v>ok</v>
      </c>
    </row>
    <row r="56" spans="1:11" x14ac:dyDescent="0.35">
      <c r="A56" s="44">
        <v>337</v>
      </c>
      <c r="B56" t="s">
        <v>437</v>
      </c>
      <c r="C56" t="s">
        <v>550</v>
      </c>
      <c r="D56" s="45" t="s">
        <v>551</v>
      </c>
      <c r="E56" s="39" t="s">
        <v>551</v>
      </c>
      <c r="F56" s="45" t="s">
        <v>440</v>
      </c>
      <c r="G56" s="44" t="s">
        <v>441</v>
      </c>
      <c r="H56" s="46" t="s">
        <v>442</v>
      </c>
      <c r="I56" s="46" t="s">
        <v>443</v>
      </c>
      <c r="J56" s="20"/>
      <c r="K56" t="str">
        <f>_xlfn.XLOOKUP(D56,'Impresoras Julio 2026'!E:E,'Impresoras Julio 2026'!F:F)</f>
        <v>ok</v>
      </c>
    </row>
    <row r="57" spans="1:11" x14ac:dyDescent="0.35">
      <c r="A57" s="44">
        <v>338</v>
      </c>
      <c r="B57" t="s">
        <v>437</v>
      </c>
      <c r="C57" t="s">
        <v>552</v>
      </c>
      <c r="D57" s="45" t="s">
        <v>553</v>
      </c>
      <c r="E57" s="40" t="s">
        <v>553</v>
      </c>
      <c r="F57" s="45" t="s">
        <v>440</v>
      </c>
      <c r="G57" s="44" t="s">
        <v>441</v>
      </c>
      <c r="H57" s="46" t="s">
        <v>442</v>
      </c>
      <c r="I57" s="46" t="s">
        <v>443</v>
      </c>
      <c r="J57" s="20"/>
      <c r="K57" t="str">
        <f>_xlfn.XLOOKUP(D57,'Impresoras Julio 2026'!E:E,'Impresoras Julio 2026'!F:F)</f>
        <v>ok</v>
      </c>
    </row>
    <row r="58" spans="1:11" x14ac:dyDescent="0.35">
      <c r="A58" s="44">
        <v>339</v>
      </c>
      <c r="B58" t="s">
        <v>437</v>
      </c>
      <c r="C58" t="s">
        <v>554</v>
      </c>
      <c r="D58" s="45" t="s">
        <v>555</v>
      </c>
      <c r="E58" s="39" t="s">
        <v>555</v>
      </c>
      <c r="F58" s="45" t="s">
        <v>440</v>
      </c>
      <c r="G58" s="44" t="s">
        <v>441</v>
      </c>
      <c r="H58" s="46" t="s">
        <v>442</v>
      </c>
      <c r="I58" s="46" t="s">
        <v>443</v>
      </c>
      <c r="J58" s="20"/>
      <c r="K58" t="str">
        <f>_xlfn.XLOOKUP(D58,'Impresoras Julio 2026'!E:E,'Impresoras Julio 2026'!F:F)</f>
        <v>ok</v>
      </c>
    </row>
    <row r="59" spans="1:11" x14ac:dyDescent="0.35">
      <c r="A59" s="44">
        <v>340</v>
      </c>
      <c r="B59" t="s">
        <v>437</v>
      </c>
      <c r="C59" t="s">
        <v>556</v>
      </c>
      <c r="D59" s="45" t="s">
        <v>557</v>
      </c>
      <c r="E59" s="40" t="s">
        <v>557</v>
      </c>
      <c r="F59" s="45" t="s">
        <v>440</v>
      </c>
      <c r="G59" s="44" t="s">
        <v>441</v>
      </c>
      <c r="H59" s="46" t="s">
        <v>442</v>
      </c>
      <c r="I59" s="46" t="s">
        <v>443</v>
      </c>
      <c r="J59" s="20"/>
      <c r="K59" t="str">
        <f>_xlfn.XLOOKUP(D59,'Impresoras Julio 2026'!E:E,'Impresoras Julio 2026'!F:F)</f>
        <v>ok</v>
      </c>
    </row>
    <row r="60" spans="1:11" x14ac:dyDescent="0.35">
      <c r="A60" s="44">
        <v>341</v>
      </c>
      <c r="B60" t="s">
        <v>437</v>
      </c>
      <c r="C60" t="s">
        <v>558</v>
      </c>
      <c r="D60" s="45" t="s">
        <v>559</v>
      </c>
      <c r="E60" s="39" t="s">
        <v>559</v>
      </c>
      <c r="F60" s="45" t="s">
        <v>440</v>
      </c>
      <c r="G60" s="44" t="s">
        <v>441</v>
      </c>
      <c r="H60" s="46" t="s">
        <v>442</v>
      </c>
      <c r="I60" s="46" t="s">
        <v>443</v>
      </c>
      <c r="J60" s="20"/>
      <c r="K60" t="str">
        <f>_xlfn.XLOOKUP(D60,'Impresoras Julio 2026'!E:E,'Impresoras Julio 2026'!F:F)</f>
        <v>ok</v>
      </c>
    </row>
    <row r="61" spans="1:11" x14ac:dyDescent="0.35">
      <c r="A61" s="44">
        <v>342</v>
      </c>
      <c r="B61" t="s">
        <v>437</v>
      </c>
      <c r="C61" t="s">
        <v>560</v>
      </c>
      <c r="D61" s="45" t="s">
        <v>561</v>
      </c>
      <c r="E61" s="40" t="s">
        <v>561</v>
      </c>
      <c r="F61" s="45" t="s">
        <v>440</v>
      </c>
      <c r="G61" s="44" t="s">
        <v>441</v>
      </c>
      <c r="H61" s="46" t="s">
        <v>442</v>
      </c>
      <c r="I61" s="46" t="s">
        <v>443</v>
      </c>
      <c r="J61" s="20"/>
      <c r="K61" t="str">
        <f>_xlfn.XLOOKUP(D61,'Impresoras Julio 2026'!E:E,'Impresoras Julio 2026'!F:F)</f>
        <v>ok</v>
      </c>
    </row>
    <row r="62" spans="1:11" x14ac:dyDescent="0.35">
      <c r="A62" s="44">
        <v>343</v>
      </c>
      <c r="B62" t="s">
        <v>437</v>
      </c>
      <c r="C62" t="s">
        <v>562</v>
      </c>
      <c r="D62" s="45" t="s">
        <v>563</v>
      </c>
      <c r="F62" s="45" t="s">
        <v>440</v>
      </c>
      <c r="G62" s="44" t="s">
        <v>441</v>
      </c>
      <c r="H62" s="46" t="s">
        <v>442</v>
      </c>
      <c r="I62" s="46" t="s">
        <v>443</v>
      </c>
      <c r="J62" s="20"/>
      <c r="K62" t="e">
        <f>_xlfn.XLOOKUP(D62,'Impresoras Julio 2026'!E:E,'Impresoras Julio 2026'!F:F)</f>
        <v>#N/A</v>
      </c>
    </row>
    <row r="63" spans="1:11" x14ac:dyDescent="0.35">
      <c r="A63" s="44">
        <v>344</v>
      </c>
      <c r="B63" t="s">
        <v>437</v>
      </c>
      <c r="C63" t="s">
        <v>564</v>
      </c>
      <c r="D63" s="45" t="s">
        <v>565</v>
      </c>
      <c r="E63" s="39" t="s">
        <v>565</v>
      </c>
      <c r="F63" s="45" t="s">
        <v>440</v>
      </c>
      <c r="G63" s="44" t="s">
        <v>441</v>
      </c>
      <c r="H63" s="46" t="s">
        <v>442</v>
      </c>
      <c r="I63" s="46" t="s">
        <v>443</v>
      </c>
      <c r="J63" s="20"/>
      <c r="K63" t="str">
        <f>_xlfn.XLOOKUP(D63,'Impresoras Julio 2026'!E:E,'Impresoras Julio 2026'!F:F)</f>
        <v>ok</v>
      </c>
    </row>
    <row r="64" spans="1:11" x14ac:dyDescent="0.35">
      <c r="A64" s="44">
        <v>345</v>
      </c>
      <c r="B64" t="s">
        <v>437</v>
      </c>
      <c r="C64" t="s">
        <v>566</v>
      </c>
      <c r="D64" s="45" t="s">
        <v>567</v>
      </c>
      <c r="E64" s="40" t="s">
        <v>567</v>
      </c>
      <c r="F64" s="45" t="s">
        <v>440</v>
      </c>
      <c r="G64" s="44" t="s">
        <v>441</v>
      </c>
      <c r="H64" s="46" t="s">
        <v>442</v>
      </c>
      <c r="I64" s="46" t="s">
        <v>443</v>
      </c>
      <c r="J64" s="20"/>
      <c r="K64" t="str">
        <f>_xlfn.XLOOKUP(D64,'Impresoras Julio 2026'!E:E,'Impresoras Julio 2026'!F:F)</f>
        <v>ok</v>
      </c>
    </row>
    <row r="65" spans="1:11" x14ac:dyDescent="0.35">
      <c r="A65" s="44">
        <v>346</v>
      </c>
      <c r="B65" t="s">
        <v>437</v>
      </c>
      <c r="C65" t="s">
        <v>568</v>
      </c>
      <c r="D65" s="45" t="s">
        <v>569</v>
      </c>
      <c r="E65" s="39" t="s">
        <v>569</v>
      </c>
      <c r="F65" s="45" t="s">
        <v>440</v>
      </c>
      <c r="G65" s="44" t="s">
        <v>441</v>
      </c>
      <c r="H65" s="46" t="s">
        <v>442</v>
      </c>
      <c r="I65" s="46" t="s">
        <v>443</v>
      </c>
      <c r="J65" s="20"/>
      <c r="K65" t="str">
        <f>_xlfn.XLOOKUP(D65,'Impresoras Julio 2026'!E:E,'Impresoras Julio 2026'!F:F)</f>
        <v>ok</v>
      </c>
    </row>
    <row r="66" spans="1:11" x14ac:dyDescent="0.35">
      <c r="A66" s="44">
        <v>347</v>
      </c>
      <c r="B66" t="s">
        <v>437</v>
      </c>
      <c r="C66" t="s">
        <v>570</v>
      </c>
      <c r="D66" s="45" t="s">
        <v>571</v>
      </c>
      <c r="E66" s="40" t="s">
        <v>571</v>
      </c>
      <c r="F66" s="45" t="s">
        <v>440</v>
      </c>
      <c r="G66" s="44" t="s">
        <v>441</v>
      </c>
      <c r="H66" s="46" t="s">
        <v>442</v>
      </c>
      <c r="I66" s="46" t="s">
        <v>443</v>
      </c>
      <c r="J66" s="20"/>
      <c r="K66" t="str">
        <f>_xlfn.XLOOKUP(D66,'Impresoras Julio 2026'!E:E,'Impresoras Julio 2026'!F:F)</f>
        <v>ok</v>
      </c>
    </row>
    <row r="67" spans="1:11" x14ac:dyDescent="0.35">
      <c r="A67" s="44">
        <v>348</v>
      </c>
      <c r="B67" t="s">
        <v>437</v>
      </c>
      <c r="C67" t="s">
        <v>572</v>
      </c>
      <c r="D67" s="45" t="s">
        <v>573</v>
      </c>
      <c r="E67" s="39" t="s">
        <v>573</v>
      </c>
      <c r="F67" s="45" t="s">
        <v>440</v>
      </c>
      <c r="G67" s="44" t="s">
        <v>441</v>
      </c>
      <c r="H67" s="46" t="s">
        <v>442</v>
      </c>
      <c r="I67" s="46" t="s">
        <v>443</v>
      </c>
      <c r="J67" s="20"/>
      <c r="K67" t="str">
        <f>_xlfn.XLOOKUP(D67,'Impresoras Julio 2026'!E:E,'Impresoras Julio 2026'!F:F)</f>
        <v>ok</v>
      </c>
    </row>
    <row r="68" spans="1:11" x14ac:dyDescent="0.35">
      <c r="A68" s="44">
        <v>349</v>
      </c>
      <c r="B68" t="s">
        <v>437</v>
      </c>
      <c r="C68" t="s">
        <v>574</v>
      </c>
      <c r="D68" s="45" t="s">
        <v>575</v>
      </c>
      <c r="E68" s="40" t="s">
        <v>575</v>
      </c>
      <c r="F68" s="45" t="s">
        <v>440</v>
      </c>
      <c r="G68" s="44" t="s">
        <v>441</v>
      </c>
      <c r="H68" s="46" t="s">
        <v>442</v>
      </c>
      <c r="I68" s="46" t="s">
        <v>443</v>
      </c>
      <c r="J68" s="20"/>
      <c r="K68" t="str">
        <f>_xlfn.XLOOKUP(D68,'Impresoras Julio 2026'!E:E,'Impresoras Julio 2026'!F:F)</f>
        <v>ok</v>
      </c>
    </row>
    <row r="69" spans="1:11" x14ac:dyDescent="0.35">
      <c r="A69" s="44">
        <v>350</v>
      </c>
      <c r="B69" t="s">
        <v>437</v>
      </c>
      <c r="C69" t="s">
        <v>576</v>
      </c>
      <c r="D69" s="45" t="s">
        <v>577</v>
      </c>
      <c r="E69" s="39" t="s">
        <v>577</v>
      </c>
      <c r="F69" s="45" t="s">
        <v>440</v>
      </c>
      <c r="G69" s="44" t="s">
        <v>441</v>
      </c>
      <c r="H69" s="46" t="s">
        <v>442</v>
      </c>
      <c r="I69" s="46" t="s">
        <v>443</v>
      </c>
      <c r="J69" s="20"/>
      <c r="K69" t="str">
        <f>_xlfn.XLOOKUP(D69,'Impresoras Julio 2026'!E:E,'Impresoras Julio 2026'!F:F)</f>
        <v>ok</v>
      </c>
    </row>
    <row r="70" spans="1:11" x14ac:dyDescent="0.35">
      <c r="A70" s="44">
        <v>351</v>
      </c>
      <c r="B70" t="s">
        <v>437</v>
      </c>
      <c r="C70" t="s">
        <v>578</v>
      </c>
      <c r="D70" s="45" t="s">
        <v>579</v>
      </c>
      <c r="E70" s="40" t="s">
        <v>579</v>
      </c>
      <c r="F70" s="45" t="s">
        <v>440</v>
      </c>
      <c r="G70" s="44" t="s">
        <v>441</v>
      </c>
      <c r="H70" s="46" t="s">
        <v>442</v>
      </c>
      <c r="I70" s="46" t="s">
        <v>443</v>
      </c>
      <c r="J70" s="20"/>
      <c r="K70" t="str">
        <f>_xlfn.XLOOKUP(D70,'Impresoras Julio 2026'!E:E,'Impresoras Julio 2026'!F:F)</f>
        <v>ok</v>
      </c>
    </row>
    <row r="71" spans="1:11" x14ac:dyDescent="0.35">
      <c r="A71" s="44">
        <v>352</v>
      </c>
      <c r="B71" t="s">
        <v>437</v>
      </c>
      <c r="C71" t="s">
        <v>580</v>
      </c>
      <c r="D71" s="45" t="s">
        <v>581</v>
      </c>
      <c r="E71" s="39" t="s">
        <v>581</v>
      </c>
      <c r="F71" s="45" t="s">
        <v>440</v>
      </c>
      <c r="G71" s="44" t="s">
        <v>441</v>
      </c>
      <c r="H71" s="46" t="s">
        <v>442</v>
      </c>
      <c r="I71" s="46" t="s">
        <v>443</v>
      </c>
      <c r="J71" s="20"/>
      <c r="K71" t="str">
        <f>_xlfn.XLOOKUP(D71,'Impresoras Julio 2026'!E:E,'Impresoras Julio 2026'!F:F)</f>
        <v>ok</v>
      </c>
    </row>
    <row r="72" spans="1:11" x14ac:dyDescent="0.35">
      <c r="A72" s="44">
        <v>353</v>
      </c>
      <c r="B72" t="s">
        <v>437</v>
      </c>
      <c r="C72" t="s">
        <v>582</v>
      </c>
      <c r="D72" s="45" t="s">
        <v>583</v>
      </c>
      <c r="E72" s="40" t="s">
        <v>583</v>
      </c>
      <c r="F72" s="45" t="s">
        <v>440</v>
      </c>
      <c r="G72" s="44" t="s">
        <v>441</v>
      </c>
      <c r="H72" s="46" t="s">
        <v>442</v>
      </c>
      <c r="I72" s="46" t="s">
        <v>443</v>
      </c>
      <c r="J72" s="20"/>
      <c r="K72" t="str">
        <f>_xlfn.XLOOKUP(D72,'Impresoras Julio 2026'!E:E,'Impresoras Julio 2026'!F:F)</f>
        <v>ok</v>
      </c>
    </row>
    <row r="73" spans="1:11" x14ac:dyDescent="0.35">
      <c r="A73" s="44">
        <v>354</v>
      </c>
      <c r="B73" t="s">
        <v>437</v>
      </c>
      <c r="C73" t="s">
        <v>584</v>
      </c>
      <c r="D73" s="45" t="s">
        <v>585</v>
      </c>
      <c r="E73" s="39" t="s">
        <v>585</v>
      </c>
      <c r="F73" s="45" t="s">
        <v>440</v>
      </c>
      <c r="G73" s="44" t="s">
        <v>441</v>
      </c>
      <c r="H73" s="46" t="s">
        <v>442</v>
      </c>
      <c r="I73" s="46" t="s">
        <v>443</v>
      </c>
      <c r="J73" s="20"/>
      <c r="K73" t="str">
        <f>_xlfn.XLOOKUP(D73,'Impresoras Julio 2026'!E:E,'Impresoras Julio 2026'!F:F)</f>
        <v>ok</v>
      </c>
    </row>
    <row r="74" spans="1:11" x14ac:dyDescent="0.35">
      <c r="A74" s="44">
        <v>355</v>
      </c>
      <c r="B74" t="s">
        <v>437</v>
      </c>
      <c r="C74" t="s">
        <v>586</v>
      </c>
      <c r="D74" s="45" t="s">
        <v>587</v>
      </c>
      <c r="E74" s="40" t="s">
        <v>587</v>
      </c>
      <c r="F74" s="45" t="s">
        <v>440</v>
      </c>
      <c r="G74" s="44" t="s">
        <v>441</v>
      </c>
      <c r="H74" s="46" t="s">
        <v>442</v>
      </c>
      <c r="I74" s="46" t="s">
        <v>443</v>
      </c>
      <c r="J74" s="20"/>
      <c r="K74" t="str">
        <f>_xlfn.XLOOKUP(D74,'Impresoras Julio 2026'!E:E,'Impresoras Julio 2026'!F:F)</f>
        <v>ok</v>
      </c>
    </row>
    <row r="75" spans="1:11" x14ac:dyDescent="0.35">
      <c r="A75" s="44">
        <v>356</v>
      </c>
      <c r="B75" t="s">
        <v>437</v>
      </c>
      <c r="C75" t="s">
        <v>588</v>
      </c>
      <c r="D75" s="45" t="s">
        <v>589</v>
      </c>
      <c r="F75" s="45" t="s">
        <v>440</v>
      </c>
      <c r="G75" s="44" t="s">
        <v>441</v>
      </c>
      <c r="H75" s="46" t="s">
        <v>442</v>
      </c>
      <c r="I75" s="46" t="s">
        <v>443</v>
      </c>
      <c r="J75" s="20"/>
      <c r="K75" t="e">
        <f>_xlfn.XLOOKUP(D75,'Impresoras Julio 2026'!E:E,'Impresoras Julio 2026'!F:F)</f>
        <v>#N/A</v>
      </c>
    </row>
    <row r="76" spans="1:11" x14ac:dyDescent="0.35">
      <c r="A76" s="44">
        <v>357</v>
      </c>
      <c r="B76" t="s">
        <v>437</v>
      </c>
      <c r="C76" t="s">
        <v>590</v>
      </c>
      <c r="D76" s="45" t="s">
        <v>591</v>
      </c>
      <c r="E76" s="39" t="s">
        <v>591</v>
      </c>
      <c r="F76" s="45" t="s">
        <v>440</v>
      </c>
      <c r="G76" s="44" t="s">
        <v>441</v>
      </c>
      <c r="H76" s="46" t="s">
        <v>442</v>
      </c>
      <c r="I76" s="46" t="s">
        <v>443</v>
      </c>
      <c r="J76" s="20"/>
      <c r="K76" t="str">
        <f>_xlfn.XLOOKUP(D76,'Impresoras Julio 2026'!E:E,'Impresoras Julio 2026'!F:F)</f>
        <v>ok</v>
      </c>
    </row>
    <row r="77" spans="1:11" x14ac:dyDescent="0.35">
      <c r="A77" s="44">
        <v>358</v>
      </c>
      <c r="B77" t="s">
        <v>437</v>
      </c>
      <c r="C77" t="s">
        <v>592</v>
      </c>
      <c r="D77" s="45" t="s">
        <v>593</v>
      </c>
      <c r="E77" s="40" t="s">
        <v>593</v>
      </c>
      <c r="F77" s="45" t="s">
        <v>440</v>
      </c>
      <c r="G77" s="44" t="s">
        <v>441</v>
      </c>
      <c r="H77" s="46" t="s">
        <v>442</v>
      </c>
      <c r="I77" s="46" t="s">
        <v>443</v>
      </c>
      <c r="J77" s="20"/>
      <c r="K77" t="str">
        <f>_xlfn.XLOOKUP(D77,'Impresoras Julio 2026'!E:E,'Impresoras Julio 2026'!F:F)</f>
        <v>ok</v>
      </c>
    </row>
    <row r="78" spans="1:11" x14ac:dyDescent="0.35">
      <c r="A78" s="44">
        <v>359</v>
      </c>
      <c r="B78" t="s">
        <v>437</v>
      </c>
      <c r="C78" t="s">
        <v>594</v>
      </c>
      <c r="D78" s="45" t="s">
        <v>595</v>
      </c>
      <c r="E78" s="39" t="s">
        <v>595</v>
      </c>
      <c r="F78" s="45" t="s">
        <v>440</v>
      </c>
      <c r="G78" s="44" t="s">
        <v>441</v>
      </c>
      <c r="H78" s="46" t="s">
        <v>442</v>
      </c>
      <c r="I78" s="46" t="s">
        <v>443</v>
      </c>
      <c r="J78" s="20"/>
      <c r="K78" t="str">
        <f>_xlfn.XLOOKUP(D78,'Impresoras Julio 2026'!E:E,'Impresoras Julio 2026'!F:F)</f>
        <v>ok</v>
      </c>
    </row>
    <row r="79" spans="1:11" x14ac:dyDescent="0.35">
      <c r="A79" s="44">
        <v>360</v>
      </c>
      <c r="B79" t="s">
        <v>437</v>
      </c>
      <c r="C79" t="s">
        <v>596</v>
      </c>
      <c r="D79" s="45" t="s">
        <v>597</v>
      </c>
      <c r="E79" s="40" t="s">
        <v>597</v>
      </c>
      <c r="F79" s="45" t="s">
        <v>440</v>
      </c>
      <c r="G79" s="44" t="s">
        <v>441</v>
      </c>
      <c r="H79" s="46" t="s">
        <v>442</v>
      </c>
      <c r="I79" s="46" t="s">
        <v>443</v>
      </c>
      <c r="J79" s="20"/>
      <c r="K79" t="str">
        <f>_xlfn.XLOOKUP(D79,'Impresoras Julio 2026'!E:E,'Impresoras Julio 2026'!F:F)</f>
        <v>ok</v>
      </c>
    </row>
    <row r="80" spans="1:11" x14ac:dyDescent="0.35">
      <c r="A80" s="44">
        <v>361</v>
      </c>
      <c r="B80" t="s">
        <v>437</v>
      </c>
      <c r="C80" t="s">
        <v>598</v>
      </c>
      <c r="D80" s="45" t="s">
        <v>599</v>
      </c>
      <c r="E80" s="39" t="s">
        <v>599</v>
      </c>
      <c r="F80" s="45" t="s">
        <v>440</v>
      </c>
      <c r="G80" s="44" t="s">
        <v>441</v>
      </c>
      <c r="H80" s="46" t="s">
        <v>442</v>
      </c>
      <c r="I80" s="46" t="s">
        <v>443</v>
      </c>
      <c r="J80" s="20"/>
      <c r="K80" t="str">
        <f>_xlfn.XLOOKUP(D80,'Impresoras Julio 2026'!E:E,'Impresoras Julio 2026'!F:F)</f>
        <v>ok</v>
      </c>
    </row>
    <row r="81" spans="1:11" x14ac:dyDescent="0.35">
      <c r="A81" s="44">
        <v>362</v>
      </c>
      <c r="B81" t="s">
        <v>437</v>
      </c>
      <c r="C81" t="s">
        <v>600</v>
      </c>
      <c r="D81" s="45" t="s">
        <v>601</v>
      </c>
      <c r="E81" s="40" t="s">
        <v>601</v>
      </c>
      <c r="F81" s="45" t="s">
        <v>440</v>
      </c>
      <c r="G81" s="44" t="s">
        <v>441</v>
      </c>
      <c r="H81" s="46" t="s">
        <v>442</v>
      </c>
      <c r="I81" s="46" t="s">
        <v>443</v>
      </c>
      <c r="J81" s="20"/>
      <c r="K81" t="str">
        <f>_xlfn.XLOOKUP(D81,'Impresoras Julio 2026'!E:E,'Impresoras Julio 2026'!F:F)</f>
        <v>ok</v>
      </c>
    </row>
    <row r="82" spans="1:11" x14ac:dyDescent="0.35">
      <c r="A82" s="44">
        <v>363</v>
      </c>
      <c r="B82" t="s">
        <v>437</v>
      </c>
      <c r="C82" t="s">
        <v>602</v>
      </c>
      <c r="D82" s="45" t="s">
        <v>603</v>
      </c>
      <c r="E82" s="39" t="s">
        <v>603</v>
      </c>
      <c r="F82" s="45" t="s">
        <v>440</v>
      </c>
      <c r="G82" s="44" t="s">
        <v>441</v>
      </c>
      <c r="H82" s="46" t="s">
        <v>442</v>
      </c>
      <c r="I82" s="46" t="s">
        <v>443</v>
      </c>
      <c r="J82" s="20"/>
      <c r="K82" t="str">
        <f>_xlfn.XLOOKUP(D82,'Impresoras Julio 2026'!E:E,'Impresoras Julio 2026'!F:F)</f>
        <v>ok</v>
      </c>
    </row>
    <row r="83" spans="1:11" x14ac:dyDescent="0.35">
      <c r="A83" s="44">
        <v>364</v>
      </c>
      <c r="B83" t="s">
        <v>437</v>
      </c>
      <c r="C83" t="s">
        <v>604</v>
      </c>
      <c r="D83" s="45" t="s">
        <v>605</v>
      </c>
      <c r="E83" s="40" t="s">
        <v>605</v>
      </c>
      <c r="F83" s="45" t="s">
        <v>440</v>
      </c>
      <c r="G83" s="44" t="s">
        <v>441</v>
      </c>
      <c r="H83" s="46" t="s">
        <v>442</v>
      </c>
      <c r="I83" s="46" t="s">
        <v>443</v>
      </c>
      <c r="J83" s="20"/>
      <c r="K83" t="str">
        <f>_xlfn.XLOOKUP(D83,'Impresoras Julio 2026'!E:E,'Impresoras Julio 2026'!F:F)</f>
        <v>ok</v>
      </c>
    </row>
    <row r="84" spans="1:11" x14ac:dyDescent="0.35">
      <c r="A84" s="44">
        <v>365</v>
      </c>
      <c r="B84" t="s">
        <v>437</v>
      </c>
      <c r="C84" t="s">
        <v>606</v>
      </c>
      <c r="D84" s="45" t="s">
        <v>607</v>
      </c>
      <c r="E84" s="39" t="s">
        <v>607</v>
      </c>
      <c r="F84" s="45" t="s">
        <v>440</v>
      </c>
      <c r="G84" s="44" t="s">
        <v>441</v>
      </c>
      <c r="H84" s="46" t="s">
        <v>442</v>
      </c>
      <c r="I84" s="46" t="s">
        <v>443</v>
      </c>
      <c r="J84" s="20"/>
      <c r="K84" t="str">
        <f>_xlfn.XLOOKUP(D84,'Impresoras Julio 2026'!E:E,'Impresoras Julio 2026'!F:F)</f>
        <v>ok</v>
      </c>
    </row>
    <row r="85" spans="1:11" x14ac:dyDescent="0.35">
      <c r="A85" s="44">
        <v>366</v>
      </c>
      <c r="B85" t="s">
        <v>437</v>
      </c>
      <c r="C85" t="s">
        <v>608</v>
      </c>
      <c r="D85" s="45" t="s">
        <v>609</v>
      </c>
      <c r="E85" s="40" t="s">
        <v>609</v>
      </c>
      <c r="F85" s="45" t="s">
        <v>440</v>
      </c>
      <c r="G85" s="44" t="s">
        <v>441</v>
      </c>
      <c r="H85" s="46" t="s">
        <v>442</v>
      </c>
      <c r="I85" s="46" t="s">
        <v>443</v>
      </c>
      <c r="J85" s="20"/>
      <c r="K85" t="str">
        <f>_xlfn.XLOOKUP(D85,'Impresoras Julio 2026'!E:E,'Impresoras Julio 2026'!F:F)</f>
        <v>ok</v>
      </c>
    </row>
    <row r="86" spans="1:11" x14ac:dyDescent="0.35">
      <c r="A86" s="44">
        <v>367</v>
      </c>
      <c r="B86" t="s">
        <v>437</v>
      </c>
      <c r="C86" t="s">
        <v>610</v>
      </c>
      <c r="D86" s="45" t="s">
        <v>611</v>
      </c>
      <c r="E86" s="39" t="s">
        <v>611</v>
      </c>
      <c r="F86" s="45" t="s">
        <v>440</v>
      </c>
      <c r="G86" s="44" t="s">
        <v>441</v>
      </c>
      <c r="H86" s="46" t="s">
        <v>442</v>
      </c>
      <c r="I86" s="46" t="s">
        <v>443</v>
      </c>
      <c r="J86" s="20"/>
      <c r="K86" t="str">
        <f>_xlfn.XLOOKUP(D86,'Impresoras Julio 2026'!E:E,'Impresoras Julio 2026'!F:F)</f>
        <v>ok</v>
      </c>
    </row>
    <row r="87" spans="1:11" x14ac:dyDescent="0.35">
      <c r="A87" s="44">
        <v>368</v>
      </c>
      <c r="B87" t="s">
        <v>437</v>
      </c>
      <c r="C87" t="s">
        <v>612</v>
      </c>
      <c r="D87" s="45" t="s">
        <v>613</v>
      </c>
      <c r="F87" s="45" t="s">
        <v>440</v>
      </c>
      <c r="G87" s="44" t="s">
        <v>441</v>
      </c>
      <c r="H87" s="46" t="s">
        <v>442</v>
      </c>
      <c r="I87" s="46" t="s">
        <v>443</v>
      </c>
      <c r="J87" s="20"/>
      <c r="K87" t="e">
        <f>_xlfn.XLOOKUP(D87,'Impresoras Julio 2026'!E:E,'Impresoras Julio 2026'!F:F)</f>
        <v>#N/A</v>
      </c>
    </row>
    <row r="88" spans="1:11" x14ac:dyDescent="0.35">
      <c r="A88" s="44">
        <v>369</v>
      </c>
      <c r="B88" t="s">
        <v>437</v>
      </c>
      <c r="C88" t="s">
        <v>614</v>
      </c>
      <c r="D88" s="45" t="s">
        <v>615</v>
      </c>
      <c r="E88" s="40" t="s">
        <v>615</v>
      </c>
      <c r="F88" s="45" t="s">
        <v>440</v>
      </c>
      <c r="G88" s="44" t="s">
        <v>441</v>
      </c>
      <c r="H88" s="46" t="s">
        <v>442</v>
      </c>
      <c r="I88" s="46" t="s">
        <v>443</v>
      </c>
      <c r="J88" s="20"/>
      <c r="K88" t="str">
        <f>_xlfn.XLOOKUP(D88,'Impresoras Julio 2026'!E:E,'Impresoras Julio 2026'!F:F)</f>
        <v>ok</v>
      </c>
    </row>
    <row r="89" spans="1:11" x14ac:dyDescent="0.35">
      <c r="A89" s="44">
        <v>370</v>
      </c>
      <c r="B89" t="s">
        <v>437</v>
      </c>
      <c r="C89" t="s">
        <v>616</v>
      </c>
      <c r="D89" s="45" t="s">
        <v>617</v>
      </c>
      <c r="F89" s="45" t="s">
        <v>440</v>
      </c>
      <c r="G89" s="44" t="s">
        <v>441</v>
      </c>
      <c r="H89" s="46" t="s">
        <v>442</v>
      </c>
      <c r="I89" s="46" t="s">
        <v>443</v>
      </c>
      <c r="J89" s="20"/>
      <c r="K89" t="e">
        <f>_xlfn.XLOOKUP(D89,'Impresoras Julio 2026'!E:E,'Impresoras Julio 2026'!F:F)</f>
        <v>#N/A</v>
      </c>
    </row>
    <row r="90" spans="1:11" x14ac:dyDescent="0.35">
      <c r="A90" s="44">
        <v>371</v>
      </c>
      <c r="B90" t="s">
        <v>437</v>
      </c>
      <c r="C90" t="s">
        <v>618</v>
      </c>
      <c r="D90" s="45" t="s">
        <v>619</v>
      </c>
      <c r="E90" s="39" t="s">
        <v>619</v>
      </c>
      <c r="F90" s="45" t="s">
        <v>440</v>
      </c>
      <c r="G90" s="44" t="s">
        <v>441</v>
      </c>
      <c r="H90" s="46" t="s">
        <v>442</v>
      </c>
      <c r="I90" s="46" t="s">
        <v>443</v>
      </c>
      <c r="J90" s="20"/>
      <c r="K90" t="str">
        <f>_xlfn.XLOOKUP(D90,'Impresoras Julio 2026'!E:E,'Impresoras Julio 2026'!F:F)</f>
        <v>ok</v>
      </c>
    </row>
    <row r="91" spans="1:11" x14ac:dyDescent="0.35">
      <c r="A91" s="44">
        <v>372</v>
      </c>
      <c r="B91" t="s">
        <v>437</v>
      </c>
      <c r="C91" t="s">
        <v>620</v>
      </c>
      <c r="D91" s="45" t="s">
        <v>621</v>
      </c>
      <c r="E91" s="40" t="s">
        <v>621</v>
      </c>
      <c r="F91" s="45" t="s">
        <v>440</v>
      </c>
      <c r="G91" s="44" t="s">
        <v>441</v>
      </c>
      <c r="H91" s="46" t="s">
        <v>442</v>
      </c>
      <c r="I91" s="46" t="s">
        <v>443</v>
      </c>
      <c r="J91" s="20"/>
      <c r="K91" t="str">
        <f>_xlfn.XLOOKUP(D91,'Impresoras Julio 2026'!E:E,'Impresoras Julio 2026'!F:F)</f>
        <v>ok</v>
      </c>
    </row>
    <row r="92" spans="1:11" x14ac:dyDescent="0.35">
      <c r="A92" s="44">
        <v>373</v>
      </c>
      <c r="B92" t="s">
        <v>437</v>
      </c>
      <c r="C92" t="s">
        <v>622</v>
      </c>
      <c r="D92" s="45" t="s">
        <v>623</v>
      </c>
      <c r="F92" s="45" t="s">
        <v>440</v>
      </c>
      <c r="G92" s="44" t="s">
        <v>441</v>
      </c>
      <c r="H92" s="46" t="s">
        <v>442</v>
      </c>
      <c r="I92" s="46" t="s">
        <v>443</v>
      </c>
      <c r="J92" s="20"/>
      <c r="K92" t="e">
        <f>_xlfn.XLOOKUP(D92,'Impresoras Julio 2026'!E:E,'Impresoras Julio 2026'!F:F)</f>
        <v>#N/A</v>
      </c>
    </row>
    <row r="93" spans="1:11" x14ac:dyDescent="0.35">
      <c r="A93" s="44">
        <v>374</v>
      </c>
      <c r="B93" t="s">
        <v>437</v>
      </c>
      <c r="C93" t="s">
        <v>624</v>
      </c>
      <c r="D93" s="45" t="s">
        <v>625</v>
      </c>
      <c r="E93" s="39" t="s">
        <v>625</v>
      </c>
      <c r="F93" s="45" t="s">
        <v>440</v>
      </c>
      <c r="G93" s="44" t="s">
        <v>441</v>
      </c>
      <c r="H93" s="46" t="s">
        <v>442</v>
      </c>
      <c r="I93" s="46" t="s">
        <v>443</v>
      </c>
      <c r="J93" s="20"/>
      <c r="K93" t="str">
        <f>_xlfn.XLOOKUP(D93,'Impresoras Julio 2026'!E:E,'Impresoras Julio 2026'!F:F)</f>
        <v>ok</v>
      </c>
    </row>
    <row r="94" spans="1:11" x14ac:dyDescent="0.35">
      <c r="A94" s="44">
        <v>375</v>
      </c>
      <c r="B94" t="s">
        <v>437</v>
      </c>
      <c r="C94" t="s">
        <v>626</v>
      </c>
      <c r="D94" s="45" t="s">
        <v>627</v>
      </c>
      <c r="E94" s="40" t="s">
        <v>627</v>
      </c>
      <c r="F94" s="45" t="s">
        <v>440</v>
      </c>
      <c r="G94" s="44" t="s">
        <v>441</v>
      </c>
      <c r="H94" s="46" t="s">
        <v>442</v>
      </c>
      <c r="I94" s="46" t="s">
        <v>443</v>
      </c>
      <c r="J94" s="20"/>
      <c r="K94" t="str">
        <f>_xlfn.XLOOKUP(D94,'Impresoras Julio 2026'!E:E,'Impresoras Julio 2026'!F:F)</f>
        <v>ok</v>
      </c>
    </row>
    <row r="95" spans="1:11" x14ac:dyDescent="0.35">
      <c r="A95" s="44">
        <v>376</v>
      </c>
      <c r="B95" t="s">
        <v>437</v>
      </c>
      <c r="C95" t="s">
        <v>628</v>
      </c>
      <c r="D95" s="45" t="s">
        <v>629</v>
      </c>
      <c r="E95" s="39" t="s">
        <v>629</v>
      </c>
      <c r="F95" s="45" t="s">
        <v>440</v>
      </c>
      <c r="G95" s="44" t="s">
        <v>441</v>
      </c>
      <c r="H95" s="46" t="s">
        <v>442</v>
      </c>
      <c r="I95" s="46" t="s">
        <v>443</v>
      </c>
      <c r="J95" s="20"/>
      <c r="K95" t="str">
        <f>_xlfn.XLOOKUP(D95,'Impresoras Julio 2026'!E:E,'Impresoras Julio 2026'!F:F)</f>
        <v>ok</v>
      </c>
    </row>
    <row r="96" spans="1:11" x14ac:dyDescent="0.35">
      <c r="A96" s="44">
        <v>377</v>
      </c>
      <c r="B96" t="s">
        <v>437</v>
      </c>
      <c r="C96" t="s">
        <v>630</v>
      </c>
      <c r="D96" s="45" t="s">
        <v>631</v>
      </c>
      <c r="E96" s="40" t="s">
        <v>631</v>
      </c>
      <c r="F96" s="45" t="s">
        <v>440</v>
      </c>
      <c r="G96" s="44" t="s">
        <v>441</v>
      </c>
      <c r="H96" s="46" t="s">
        <v>442</v>
      </c>
      <c r="I96" s="46" t="s">
        <v>443</v>
      </c>
      <c r="J96" s="20"/>
      <c r="K96" t="str">
        <f>_xlfn.XLOOKUP(D96,'Impresoras Julio 2026'!E:E,'Impresoras Julio 2026'!F:F)</f>
        <v>ok</v>
      </c>
    </row>
    <row r="97" spans="1:11" x14ac:dyDescent="0.35">
      <c r="A97" s="44">
        <v>378</v>
      </c>
      <c r="B97" t="s">
        <v>437</v>
      </c>
      <c r="C97" t="s">
        <v>632</v>
      </c>
      <c r="D97" s="45" t="s">
        <v>633</v>
      </c>
      <c r="F97" s="45" t="s">
        <v>440</v>
      </c>
      <c r="G97" s="44" t="s">
        <v>441</v>
      </c>
      <c r="H97" s="46" t="s">
        <v>442</v>
      </c>
      <c r="I97" s="46" t="s">
        <v>443</v>
      </c>
      <c r="J97" s="20"/>
      <c r="K97" t="e">
        <f>_xlfn.XLOOKUP(D97,'Impresoras Julio 2026'!E:E,'Impresoras Julio 2026'!F:F)</f>
        <v>#N/A</v>
      </c>
    </row>
    <row r="98" spans="1:11" x14ac:dyDescent="0.35">
      <c r="A98" s="44">
        <v>379</v>
      </c>
      <c r="B98" t="s">
        <v>437</v>
      </c>
      <c r="C98" t="s">
        <v>634</v>
      </c>
      <c r="D98" s="45" t="s">
        <v>635</v>
      </c>
      <c r="E98" s="39" t="s">
        <v>635</v>
      </c>
      <c r="F98" s="45" t="s">
        <v>440</v>
      </c>
      <c r="G98" s="44" t="s">
        <v>441</v>
      </c>
      <c r="H98" s="46" t="s">
        <v>442</v>
      </c>
      <c r="I98" s="46" t="s">
        <v>443</v>
      </c>
      <c r="J98" s="20"/>
      <c r="K98" t="str">
        <f>_xlfn.XLOOKUP(D98,'Impresoras Julio 2026'!E:E,'Impresoras Julio 2026'!F:F)</f>
        <v>ok</v>
      </c>
    </row>
    <row r="99" spans="1:11" x14ac:dyDescent="0.35">
      <c r="A99" s="44">
        <v>380</v>
      </c>
      <c r="B99" t="s">
        <v>437</v>
      </c>
      <c r="C99" t="s">
        <v>636</v>
      </c>
      <c r="D99" s="45" t="s">
        <v>637</v>
      </c>
      <c r="E99" s="40" t="s">
        <v>637</v>
      </c>
      <c r="F99" s="45" t="s">
        <v>440</v>
      </c>
      <c r="G99" s="44" t="s">
        <v>441</v>
      </c>
      <c r="H99" s="46" t="s">
        <v>442</v>
      </c>
      <c r="I99" s="46" t="s">
        <v>443</v>
      </c>
      <c r="J99" s="20"/>
      <c r="K99" t="str">
        <f>_xlfn.XLOOKUP(D99,'Impresoras Julio 2026'!E:E,'Impresoras Julio 2026'!F:F)</f>
        <v>ok</v>
      </c>
    </row>
    <row r="100" spans="1:11" x14ac:dyDescent="0.35">
      <c r="A100" s="44">
        <v>381</v>
      </c>
      <c r="B100" t="s">
        <v>437</v>
      </c>
      <c r="C100" t="s">
        <v>638</v>
      </c>
      <c r="D100" s="45" t="s">
        <v>639</v>
      </c>
      <c r="F100" s="45" t="s">
        <v>440</v>
      </c>
      <c r="G100" s="44" t="s">
        <v>441</v>
      </c>
      <c r="H100" s="46" t="s">
        <v>442</v>
      </c>
      <c r="I100" s="46" t="s">
        <v>443</v>
      </c>
      <c r="J100" s="20"/>
      <c r="K100" t="e">
        <f>_xlfn.XLOOKUP(D100,'Impresoras Julio 2026'!E:E,'Impresoras Julio 2026'!F:F)</f>
        <v>#N/A</v>
      </c>
    </row>
    <row r="101" spans="1:11" x14ac:dyDescent="0.35">
      <c r="A101" s="44">
        <v>382</v>
      </c>
      <c r="B101" t="s">
        <v>437</v>
      </c>
      <c r="C101" t="s">
        <v>640</v>
      </c>
      <c r="D101" s="45" t="s">
        <v>641</v>
      </c>
      <c r="E101" s="39" t="s">
        <v>641</v>
      </c>
      <c r="F101" s="45" t="s">
        <v>440</v>
      </c>
      <c r="G101" s="44" t="s">
        <v>441</v>
      </c>
      <c r="H101" s="46" t="s">
        <v>442</v>
      </c>
      <c r="I101" s="46" t="s">
        <v>443</v>
      </c>
      <c r="J101" s="20"/>
      <c r="K101" t="str">
        <f>_xlfn.XLOOKUP(D101,'Impresoras Julio 2026'!E:E,'Impresoras Julio 2026'!F:F)</f>
        <v>ok</v>
      </c>
    </row>
    <row r="102" spans="1:11" x14ac:dyDescent="0.35">
      <c r="A102" s="44">
        <v>383</v>
      </c>
      <c r="B102" t="s">
        <v>437</v>
      </c>
      <c r="C102" t="s">
        <v>642</v>
      </c>
      <c r="D102" s="45" t="s">
        <v>643</v>
      </c>
      <c r="E102" s="40" t="s">
        <v>643</v>
      </c>
      <c r="F102" s="45" t="s">
        <v>440</v>
      </c>
      <c r="G102" s="44" t="s">
        <v>441</v>
      </c>
      <c r="H102" s="46" t="s">
        <v>442</v>
      </c>
      <c r="I102" s="46" t="s">
        <v>443</v>
      </c>
      <c r="J102" s="20"/>
      <c r="K102" t="str">
        <f>_xlfn.XLOOKUP(D102,'Impresoras Julio 2026'!E:E,'Impresoras Julio 2026'!F:F)</f>
        <v>ok</v>
      </c>
    </row>
    <row r="103" spans="1:11" x14ac:dyDescent="0.35">
      <c r="A103" s="44">
        <v>384</v>
      </c>
      <c r="B103" t="s">
        <v>437</v>
      </c>
      <c r="C103" t="s">
        <v>644</v>
      </c>
      <c r="D103" s="45" t="s">
        <v>645</v>
      </c>
      <c r="E103" s="39" t="s">
        <v>645</v>
      </c>
      <c r="F103" s="45" t="s">
        <v>440</v>
      </c>
      <c r="G103" s="44" t="s">
        <v>441</v>
      </c>
      <c r="H103" s="46" t="s">
        <v>442</v>
      </c>
      <c r="I103" s="46" t="s">
        <v>443</v>
      </c>
      <c r="J103" s="20"/>
      <c r="K103" t="str">
        <f>_xlfn.XLOOKUP(D103,'Impresoras Julio 2026'!E:E,'Impresoras Julio 2026'!F:F)</f>
        <v>ok</v>
      </c>
    </row>
    <row r="104" spans="1:11" x14ac:dyDescent="0.35">
      <c r="A104" s="44">
        <v>385</v>
      </c>
      <c r="B104" t="s">
        <v>437</v>
      </c>
      <c r="C104" t="s">
        <v>646</v>
      </c>
      <c r="D104" s="45" t="s">
        <v>647</v>
      </c>
      <c r="E104" s="40" t="s">
        <v>647</v>
      </c>
      <c r="F104" s="45" t="s">
        <v>440</v>
      </c>
      <c r="G104" s="44" t="s">
        <v>441</v>
      </c>
      <c r="H104" s="46" t="s">
        <v>442</v>
      </c>
      <c r="I104" s="46" t="s">
        <v>443</v>
      </c>
      <c r="J104" s="20"/>
      <c r="K104" t="str">
        <f>_xlfn.XLOOKUP(D104,'Impresoras Julio 2026'!E:E,'Impresoras Julio 2026'!F:F)</f>
        <v>ok</v>
      </c>
    </row>
    <row r="105" spans="1:11" x14ac:dyDescent="0.35">
      <c r="A105" s="44">
        <v>386</v>
      </c>
      <c r="B105" t="s">
        <v>437</v>
      </c>
      <c r="C105" t="s">
        <v>648</v>
      </c>
      <c r="D105" s="45" t="s">
        <v>649</v>
      </c>
      <c r="E105" s="39" t="s">
        <v>649</v>
      </c>
      <c r="F105" s="45" t="s">
        <v>440</v>
      </c>
      <c r="G105" s="44" t="s">
        <v>441</v>
      </c>
      <c r="H105" s="46" t="s">
        <v>442</v>
      </c>
      <c r="I105" s="46" t="s">
        <v>443</v>
      </c>
      <c r="J105" s="20"/>
      <c r="K105" t="str">
        <f>_xlfn.XLOOKUP(D105,'Impresoras Julio 2026'!E:E,'Impresoras Julio 2026'!F:F)</f>
        <v>ok</v>
      </c>
    </row>
    <row r="106" spans="1:11" x14ac:dyDescent="0.35">
      <c r="A106" s="44">
        <v>387</v>
      </c>
      <c r="B106" t="s">
        <v>437</v>
      </c>
      <c r="C106" t="s">
        <v>650</v>
      </c>
      <c r="D106" s="45" t="s">
        <v>651</v>
      </c>
      <c r="F106" s="45" t="s">
        <v>440</v>
      </c>
      <c r="G106" s="44" t="s">
        <v>441</v>
      </c>
      <c r="H106" s="46" t="s">
        <v>442</v>
      </c>
      <c r="I106" s="46" t="s">
        <v>443</v>
      </c>
      <c r="J106" s="20"/>
      <c r="K106" t="e">
        <f>_xlfn.XLOOKUP(D106,'Impresoras Julio 2026'!E:E,'Impresoras Julio 2026'!F:F)</f>
        <v>#N/A</v>
      </c>
    </row>
    <row r="107" spans="1:11" x14ac:dyDescent="0.35">
      <c r="A107" s="44">
        <v>388</v>
      </c>
      <c r="B107" t="s">
        <v>437</v>
      </c>
      <c r="C107" t="s">
        <v>652</v>
      </c>
      <c r="D107" s="45" t="s">
        <v>653</v>
      </c>
      <c r="E107" s="40" t="s">
        <v>653</v>
      </c>
      <c r="F107" s="45" t="s">
        <v>440</v>
      </c>
      <c r="G107" s="44" t="s">
        <v>441</v>
      </c>
      <c r="H107" s="46" t="s">
        <v>442</v>
      </c>
      <c r="I107" s="46" t="s">
        <v>443</v>
      </c>
      <c r="J107" s="20"/>
      <c r="K107" t="str">
        <f>_xlfn.XLOOKUP(D107,'Impresoras Julio 2026'!E:E,'Impresoras Julio 2026'!F:F)</f>
        <v>ok</v>
      </c>
    </row>
    <row r="108" spans="1:11" x14ac:dyDescent="0.35">
      <c r="A108" s="44">
        <v>389</v>
      </c>
      <c r="B108" t="s">
        <v>437</v>
      </c>
      <c r="C108" t="s">
        <v>654</v>
      </c>
      <c r="D108" s="45" t="s">
        <v>655</v>
      </c>
      <c r="E108" s="39" t="s">
        <v>655</v>
      </c>
      <c r="F108" s="45" t="s">
        <v>440</v>
      </c>
      <c r="G108" s="44" t="s">
        <v>441</v>
      </c>
      <c r="H108" s="46" t="s">
        <v>442</v>
      </c>
      <c r="I108" s="46" t="s">
        <v>443</v>
      </c>
      <c r="J108" s="20"/>
      <c r="K108" t="str">
        <f>_xlfn.XLOOKUP(D108,'Impresoras Julio 2026'!E:E,'Impresoras Julio 2026'!F:F)</f>
        <v>ok</v>
      </c>
    </row>
    <row r="109" spans="1:11" x14ac:dyDescent="0.35">
      <c r="A109" s="44">
        <v>390</v>
      </c>
      <c r="B109" t="s">
        <v>437</v>
      </c>
      <c r="C109" t="s">
        <v>656</v>
      </c>
      <c r="D109" s="45" t="s">
        <v>657</v>
      </c>
      <c r="E109" s="40" t="s">
        <v>657</v>
      </c>
      <c r="F109" s="45" t="s">
        <v>440</v>
      </c>
      <c r="G109" s="44" t="s">
        <v>441</v>
      </c>
      <c r="H109" s="46" t="s">
        <v>442</v>
      </c>
      <c r="I109" s="46" t="s">
        <v>443</v>
      </c>
      <c r="J109" s="20"/>
      <c r="K109" t="str">
        <f>_xlfn.XLOOKUP(D109,'Impresoras Julio 2026'!E:E,'Impresoras Julio 2026'!F:F)</f>
        <v>ok</v>
      </c>
    </row>
    <row r="110" spans="1:11" x14ac:dyDescent="0.35">
      <c r="A110" s="44">
        <v>391</v>
      </c>
      <c r="B110" t="s">
        <v>437</v>
      </c>
      <c r="C110" t="s">
        <v>658</v>
      </c>
      <c r="D110" s="45" t="s">
        <v>659</v>
      </c>
      <c r="E110" s="39" t="s">
        <v>659</v>
      </c>
      <c r="F110" s="45" t="s">
        <v>440</v>
      </c>
      <c r="G110" s="44" t="s">
        <v>441</v>
      </c>
      <c r="H110" s="46" t="s">
        <v>442</v>
      </c>
      <c r="I110" s="46" t="s">
        <v>443</v>
      </c>
      <c r="J110" s="20"/>
      <c r="K110" t="str">
        <f>_xlfn.XLOOKUP(D110,'Impresoras Julio 2026'!E:E,'Impresoras Julio 2026'!F:F)</f>
        <v>ok</v>
      </c>
    </row>
    <row r="111" spans="1:11" x14ac:dyDescent="0.35">
      <c r="A111" s="44">
        <v>392</v>
      </c>
      <c r="B111" t="s">
        <v>437</v>
      </c>
      <c r="C111" t="s">
        <v>660</v>
      </c>
      <c r="D111" s="45" t="s">
        <v>661</v>
      </c>
      <c r="E111" s="40" t="s">
        <v>661</v>
      </c>
      <c r="F111" s="45" t="s">
        <v>440</v>
      </c>
      <c r="G111" s="44" t="s">
        <v>441</v>
      </c>
      <c r="H111" s="46" t="s">
        <v>442</v>
      </c>
      <c r="I111" s="46" t="s">
        <v>443</v>
      </c>
      <c r="J111" s="20"/>
      <c r="K111" t="str">
        <f>_xlfn.XLOOKUP(D111,'Impresoras Julio 2026'!E:E,'Impresoras Julio 2026'!F:F)</f>
        <v>ok</v>
      </c>
    </row>
    <row r="112" spans="1:11" x14ac:dyDescent="0.35">
      <c r="A112" s="44">
        <v>393</v>
      </c>
      <c r="B112" t="s">
        <v>437</v>
      </c>
      <c r="C112" t="s">
        <v>662</v>
      </c>
      <c r="D112" s="45" t="s">
        <v>663</v>
      </c>
      <c r="E112" s="39" t="s">
        <v>663</v>
      </c>
      <c r="F112" s="45" t="s">
        <v>440</v>
      </c>
      <c r="G112" s="44" t="s">
        <v>441</v>
      </c>
      <c r="H112" s="46" t="s">
        <v>442</v>
      </c>
      <c r="I112" s="46" t="s">
        <v>443</v>
      </c>
      <c r="J112" s="20"/>
      <c r="K112" t="str">
        <f>_xlfn.XLOOKUP(D112,'Impresoras Julio 2026'!E:E,'Impresoras Julio 2026'!F:F)</f>
        <v>ok</v>
      </c>
    </row>
    <row r="113" spans="1:11" x14ac:dyDescent="0.35">
      <c r="A113" s="44">
        <v>394</v>
      </c>
      <c r="B113" t="s">
        <v>437</v>
      </c>
      <c r="C113" t="s">
        <v>664</v>
      </c>
      <c r="D113" s="45" t="s">
        <v>665</v>
      </c>
      <c r="E113" s="40" t="s">
        <v>665</v>
      </c>
      <c r="F113" s="45" t="s">
        <v>440</v>
      </c>
      <c r="G113" s="44" t="s">
        <v>441</v>
      </c>
      <c r="H113" s="46" t="s">
        <v>442</v>
      </c>
      <c r="I113" s="46" t="s">
        <v>443</v>
      </c>
      <c r="J113" s="20"/>
      <c r="K113" t="str">
        <f>_xlfn.XLOOKUP(D113,'Impresoras Julio 2026'!E:E,'Impresoras Julio 2026'!F:F)</f>
        <v>ok</v>
      </c>
    </row>
    <row r="114" spans="1:11" x14ac:dyDescent="0.35">
      <c r="A114" s="44">
        <v>395</v>
      </c>
      <c r="B114" t="s">
        <v>437</v>
      </c>
      <c r="C114" t="s">
        <v>666</v>
      </c>
      <c r="D114" s="45" t="s">
        <v>667</v>
      </c>
      <c r="F114" s="45" t="s">
        <v>440</v>
      </c>
      <c r="G114" s="44" t="s">
        <v>441</v>
      </c>
      <c r="H114" s="46" t="s">
        <v>442</v>
      </c>
      <c r="I114" s="46" t="s">
        <v>443</v>
      </c>
      <c r="J114" s="20"/>
      <c r="K114" t="e">
        <f>_xlfn.XLOOKUP(D114,'Impresoras Julio 2026'!E:E,'Impresoras Julio 2026'!F:F)</f>
        <v>#N/A</v>
      </c>
    </row>
    <row r="115" spans="1:11" x14ac:dyDescent="0.35">
      <c r="A115" s="44">
        <v>396</v>
      </c>
      <c r="B115" t="s">
        <v>437</v>
      </c>
      <c r="C115" t="s">
        <v>668</v>
      </c>
      <c r="D115" s="45" t="s">
        <v>669</v>
      </c>
      <c r="E115" s="39" t="s">
        <v>669</v>
      </c>
      <c r="F115" s="45" t="s">
        <v>440</v>
      </c>
      <c r="G115" s="44" t="s">
        <v>441</v>
      </c>
      <c r="H115" s="46" t="s">
        <v>442</v>
      </c>
      <c r="I115" s="46" t="s">
        <v>443</v>
      </c>
      <c r="J115" s="20"/>
      <c r="K115" t="str">
        <f>_xlfn.XLOOKUP(D115,'Impresoras Julio 2026'!E:E,'Impresoras Julio 2026'!F:F)</f>
        <v>ok</v>
      </c>
    </row>
    <row r="116" spans="1:11" x14ac:dyDescent="0.35">
      <c r="A116" s="44">
        <v>397</v>
      </c>
      <c r="B116" t="s">
        <v>437</v>
      </c>
      <c r="C116" t="s">
        <v>670</v>
      </c>
      <c r="D116" s="45" t="s">
        <v>671</v>
      </c>
      <c r="E116" s="40" t="s">
        <v>671</v>
      </c>
      <c r="F116" s="45" t="s">
        <v>440</v>
      </c>
      <c r="G116" s="44" t="s">
        <v>441</v>
      </c>
      <c r="H116" s="46" t="s">
        <v>442</v>
      </c>
      <c r="I116" s="46" t="s">
        <v>443</v>
      </c>
      <c r="J116" s="20"/>
      <c r="K116" t="str">
        <f>_xlfn.XLOOKUP(D116,'Impresoras Julio 2026'!E:E,'Impresoras Julio 2026'!F:F)</f>
        <v>ok</v>
      </c>
    </row>
    <row r="117" spans="1:11" x14ac:dyDescent="0.35">
      <c r="A117" s="44">
        <v>398</v>
      </c>
      <c r="B117" t="s">
        <v>437</v>
      </c>
      <c r="C117" t="s">
        <v>672</v>
      </c>
      <c r="D117" s="45" t="s">
        <v>673</v>
      </c>
      <c r="F117" s="45" t="s">
        <v>440</v>
      </c>
      <c r="G117" s="44" t="s">
        <v>441</v>
      </c>
      <c r="H117" s="46" t="s">
        <v>442</v>
      </c>
      <c r="I117" s="46" t="s">
        <v>443</v>
      </c>
      <c r="J117" s="20"/>
      <c r="K117" t="e">
        <f>_xlfn.XLOOKUP(D117,'Impresoras Julio 2026'!E:E,'Impresoras Julio 2026'!F:F)</f>
        <v>#N/A</v>
      </c>
    </row>
    <row r="118" spans="1:11" x14ac:dyDescent="0.35">
      <c r="A118" s="44">
        <v>399</v>
      </c>
      <c r="B118" t="s">
        <v>437</v>
      </c>
      <c r="C118" t="s">
        <v>674</v>
      </c>
      <c r="D118" s="45" t="s">
        <v>675</v>
      </c>
      <c r="E118" s="39" t="s">
        <v>675</v>
      </c>
      <c r="F118" s="45" t="s">
        <v>440</v>
      </c>
      <c r="G118" s="44" t="s">
        <v>441</v>
      </c>
      <c r="H118" s="46" t="s">
        <v>442</v>
      </c>
      <c r="I118" s="46" t="s">
        <v>443</v>
      </c>
      <c r="J118" s="20"/>
      <c r="K118" t="str">
        <f>_xlfn.XLOOKUP(D118,'Impresoras Julio 2026'!E:E,'Impresoras Julio 2026'!F:F)</f>
        <v>ok</v>
      </c>
    </row>
    <row r="119" spans="1:11" x14ac:dyDescent="0.35">
      <c r="A119" s="44">
        <v>400</v>
      </c>
      <c r="B119" t="s">
        <v>437</v>
      </c>
      <c r="C119" t="s">
        <v>676</v>
      </c>
      <c r="D119" s="45" t="s">
        <v>677</v>
      </c>
      <c r="F119" s="45" t="s">
        <v>440</v>
      </c>
      <c r="G119" s="44" t="s">
        <v>441</v>
      </c>
      <c r="H119" s="46" t="s">
        <v>442</v>
      </c>
      <c r="I119" s="46" t="s">
        <v>443</v>
      </c>
      <c r="J119" s="20"/>
      <c r="K119" t="e">
        <f>_xlfn.XLOOKUP(D119,'Impresoras Julio 2026'!E:E,'Impresoras Julio 2026'!F:F)</f>
        <v>#N/A</v>
      </c>
    </row>
    <row r="120" spans="1:11" x14ac:dyDescent="0.35">
      <c r="A120" s="44">
        <v>401</v>
      </c>
      <c r="B120" t="s">
        <v>437</v>
      </c>
      <c r="C120" t="s">
        <v>678</v>
      </c>
      <c r="D120" s="45" t="s">
        <v>679</v>
      </c>
      <c r="E120" s="40" t="s">
        <v>679</v>
      </c>
      <c r="F120" s="45" t="s">
        <v>440</v>
      </c>
      <c r="G120" s="44" t="s">
        <v>441</v>
      </c>
      <c r="H120" s="46" t="s">
        <v>442</v>
      </c>
      <c r="I120" s="46" t="s">
        <v>443</v>
      </c>
      <c r="J120" s="20"/>
      <c r="K120" t="str">
        <f>_xlfn.XLOOKUP(D120,'Impresoras Julio 2026'!E:E,'Impresoras Julio 2026'!F:F)</f>
        <v>ok</v>
      </c>
    </row>
    <row r="121" spans="1:11" x14ac:dyDescent="0.35">
      <c r="A121" s="44">
        <v>402</v>
      </c>
      <c r="B121" t="s">
        <v>437</v>
      </c>
      <c r="C121" t="s">
        <v>680</v>
      </c>
      <c r="D121" s="45" t="s">
        <v>681</v>
      </c>
      <c r="E121" s="39" t="s">
        <v>681</v>
      </c>
      <c r="F121" s="45" t="s">
        <v>440</v>
      </c>
      <c r="G121" s="44" t="s">
        <v>441</v>
      </c>
      <c r="H121" s="46" t="s">
        <v>442</v>
      </c>
      <c r="I121" s="46" t="s">
        <v>443</v>
      </c>
      <c r="J121" s="20"/>
      <c r="K121" t="str">
        <f>_xlfn.XLOOKUP(D121,'Impresoras Julio 2026'!E:E,'Impresoras Julio 2026'!F:F)</f>
        <v>ok</v>
      </c>
    </row>
    <row r="122" spans="1:11" x14ac:dyDescent="0.35">
      <c r="A122" s="44">
        <v>403</v>
      </c>
      <c r="B122" t="s">
        <v>437</v>
      </c>
      <c r="C122" t="s">
        <v>682</v>
      </c>
      <c r="D122" s="45" t="s">
        <v>683</v>
      </c>
      <c r="E122" s="40" t="s">
        <v>683</v>
      </c>
      <c r="F122" s="45" t="s">
        <v>440</v>
      </c>
      <c r="G122" s="44" t="s">
        <v>441</v>
      </c>
      <c r="H122" s="46" t="s">
        <v>442</v>
      </c>
      <c r="I122" s="46" t="s">
        <v>443</v>
      </c>
      <c r="J122" s="20"/>
      <c r="K122" t="str">
        <f>_xlfn.XLOOKUP(D122,'Impresoras Julio 2026'!E:E,'Impresoras Julio 2026'!F:F)</f>
        <v>ok</v>
      </c>
    </row>
    <row r="123" spans="1:11" x14ac:dyDescent="0.35">
      <c r="A123" s="44">
        <v>404</v>
      </c>
      <c r="B123" t="s">
        <v>437</v>
      </c>
      <c r="C123" t="s">
        <v>684</v>
      </c>
      <c r="D123" s="45" t="s">
        <v>685</v>
      </c>
      <c r="E123" s="39" t="s">
        <v>685</v>
      </c>
      <c r="F123" s="45" t="s">
        <v>440</v>
      </c>
      <c r="G123" s="44" t="s">
        <v>441</v>
      </c>
      <c r="H123" s="46" t="s">
        <v>442</v>
      </c>
      <c r="I123" s="46" t="s">
        <v>443</v>
      </c>
      <c r="J123" s="20"/>
      <c r="K123" t="str">
        <f>_xlfn.XLOOKUP(D123,'Impresoras Julio 2026'!E:E,'Impresoras Julio 2026'!F:F)</f>
        <v>ok</v>
      </c>
    </row>
    <row r="124" spans="1:11" x14ac:dyDescent="0.35">
      <c r="A124" s="44">
        <v>405</v>
      </c>
      <c r="B124" t="s">
        <v>437</v>
      </c>
      <c r="C124" t="s">
        <v>686</v>
      </c>
      <c r="D124" s="45" t="s">
        <v>687</v>
      </c>
      <c r="E124" s="40" t="s">
        <v>687</v>
      </c>
      <c r="F124" s="45" t="s">
        <v>440</v>
      </c>
      <c r="G124" s="44" t="s">
        <v>441</v>
      </c>
      <c r="H124" s="46" t="s">
        <v>442</v>
      </c>
      <c r="I124" s="46" t="s">
        <v>443</v>
      </c>
      <c r="J124" s="20"/>
      <c r="K124" t="str">
        <f>_xlfn.XLOOKUP(D124,'Impresoras Julio 2026'!E:E,'Impresoras Julio 2026'!F:F)</f>
        <v>ok</v>
      </c>
    </row>
    <row r="125" spans="1:11" x14ac:dyDescent="0.35">
      <c r="A125" s="44">
        <v>406</v>
      </c>
      <c r="B125" t="s">
        <v>437</v>
      </c>
      <c r="C125" t="s">
        <v>688</v>
      </c>
      <c r="D125" s="45" t="s">
        <v>689</v>
      </c>
      <c r="E125" s="39" t="s">
        <v>689</v>
      </c>
      <c r="F125" s="45" t="s">
        <v>440</v>
      </c>
      <c r="G125" s="44" t="s">
        <v>441</v>
      </c>
      <c r="H125" s="46" t="s">
        <v>442</v>
      </c>
      <c r="I125" s="46" t="s">
        <v>443</v>
      </c>
      <c r="J125" s="20"/>
      <c r="K125" t="str">
        <f>_xlfn.XLOOKUP(D125,'Impresoras Julio 2026'!E:E,'Impresoras Julio 2026'!F:F)</f>
        <v>ok</v>
      </c>
    </row>
    <row r="126" spans="1:11" x14ac:dyDescent="0.35">
      <c r="A126" s="44">
        <v>407</v>
      </c>
      <c r="B126" t="s">
        <v>437</v>
      </c>
      <c r="C126" t="s">
        <v>690</v>
      </c>
      <c r="D126" s="45" t="s">
        <v>691</v>
      </c>
      <c r="E126" s="40" t="s">
        <v>691</v>
      </c>
      <c r="F126" s="45" t="s">
        <v>440</v>
      </c>
      <c r="G126" s="44" t="s">
        <v>441</v>
      </c>
      <c r="H126" s="46" t="s">
        <v>442</v>
      </c>
      <c r="I126" s="46" t="s">
        <v>443</v>
      </c>
      <c r="J126" s="20"/>
      <c r="K126" t="str">
        <f>_xlfn.XLOOKUP(D126,'Impresoras Julio 2026'!E:E,'Impresoras Julio 2026'!F:F)</f>
        <v>ok</v>
      </c>
    </row>
    <row r="127" spans="1:11" x14ac:dyDescent="0.35">
      <c r="A127" s="44">
        <v>408</v>
      </c>
      <c r="B127" t="s">
        <v>437</v>
      </c>
      <c r="C127" t="s">
        <v>692</v>
      </c>
      <c r="D127" s="45" t="s">
        <v>693</v>
      </c>
      <c r="F127" s="45" t="s">
        <v>440</v>
      </c>
      <c r="G127" s="44" t="s">
        <v>441</v>
      </c>
      <c r="H127" s="46" t="s">
        <v>442</v>
      </c>
      <c r="I127" s="46" t="s">
        <v>443</v>
      </c>
      <c r="J127" s="20"/>
      <c r="K127" t="e">
        <f>_xlfn.XLOOKUP(D127,'Impresoras Julio 2026'!E:E,'Impresoras Julio 2026'!F:F)</f>
        <v>#N/A</v>
      </c>
    </row>
    <row r="128" spans="1:11" x14ac:dyDescent="0.35">
      <c r="A128" s="44">
        <v>409</v>
      </c>
      <c r="B128" t="s">
        <v>437</v>
      </c>
      <c r="C128" t="s">
        <v>694</v>
      </c>
      <c r="D128" s="45" t="s">
        <v>695</v>
      </c>
      <c r="E128" s="39" t="s">
        <v>695</v>
      </c>
      <c r="F128" s="45" t="s">
        <v>440</v>
      </c>
      <c r="G128" s="44" t="s">
        <v>441</v>
      </c>
      <c r="H128" s="46" t="s">
        <v>442</v>
      </c>
      <c r="I128" s="46" t="s">
        <v>443</v>
      </c>
      <c r="J128" s="20"/>
      <c r="K128" t="str">
        <f>_xlfn.XLOOKUP(D128,'Impresoras Julio 2026'!E:E,'Impresoras Julio 2026'!F:F)</f>
        <v>ok</v>
      </c>
    </row>
    <row r="129" spans="1:11" x14ac:dyDescent="0.35">
      <c r="A129" s="44">
        <v>410</v>
      </c>
      <c r="B129" t="s">
        <v>437</v>
      </c>
      <c r="C129" t="s">
        <v>696</v>
      </c>
      <c r="D129" s="45" t="s">
        <v>697</v>
      </c>
      <c r="F129" s="45" t="s">
        <v>440</v>
      </c>
      <c r="G129" s="44" t="s">
        <v>441</v>
      </c>
      <c r="H129" s="46" t="s">
        <v>442</v>
      </c>
      <c r="I129" s="46" t="s">
        <v>443</v>
      </c>
      <c r="J129" s="20"/>
      <c r="K129" t="e">
        <f>_xlfn.XLOOKUP(D129,'Impresoras Julio 2026'!E:E,'Impresoras Julio 2026'!F:F)</f>
        <v>#N/A</v>
      </c>
    </row>
    <row r="130" spans="1:11" x14ac:dyDescent="0.35">
      <c r="A130" s="44">
        <v>411</v>
      </c>
      <c r="B130" t="s">
        <v>437</v>
      </c>
      <c r="C130" t="s">
        <v>698</v>
      </c>
      <c r="D130" s="45" t="s">
        <v>699</v>
      </c>
      <c r="F130" s="45" t="s">
        <v>440</v>
      </c>
      <c r="G130" s="44" t="s">
        <v>441</v>
      </c>
      <c r="H130" s="46" t="s">
        <v>442</v>
      </c>
      <c r="I130" s="46" t="s">
        <v>443</v>
      </c>
      <c r="J130" s="20"/>
      <c r="K130" t="e">
        <f>_xlfn.XLOOKUP(D130,'Impresoras Julio 2026'!E:E,'Impresoras Julio 2026'!F:F)</f>
        <v>#N/A</v>
      </c>
    </row>
    <row r="131" spans="1:11" x14ac:dyDescent="0.35">
      <c r="A131" s="44">
        <v>412</v>
      </c>
      <c r="B131" t="s">
        <v>437</v>
      </c>
      <c r="C131" t="s">
        <v>700</v>
      </c>
      <c r="D131" s="45" t="s">
        <v>701</v>
      </c>
      <c r="E131" s="40" t="s">
        <v>701</v>
      </c>
      <c r="F131" s="45" t="s">
        <v>440</v>
      </c>
      <c r="G131" s="44" t="s">
        <v>441</v>
      </c>
      <c r="H131" s="46" t="s">
        <v>442</v>
      </c>
      <c r="I131" s="46" t="s">
        <v>443</v>
      </c>
      <c r="J131" t="s">
        <v>702</v>
      </c>
      <c r="K131" t="str">
        <f>_xlfn.XLOOKUP(D131,'Impresoras Julio 2026'!E:E,'Impresoras Julio 2026'!F:F)</f>
        <v>ok</v>
      </c>
    </row>
    <row r="132" spans="1:11" x14ac:dyDescent="0.35">
      <c r="A132" s="44">
        <v>413</v>
      </c>
      <c r="B132" t="s">
        <v>437</v>
      </c>
      <c r="C132" t="s">
        <v>703</v>
      </c>
      <c r="D132" s="45" t="s">
        <v>704</v>
      </c>
      <c r="E132" s="39" t="s">
        <v>704</v>
      </c>
      <c r="F132" s="45" t="s">
        <v>440</v>
      </c>
      <c r="G132" s="44" t="s">
        <v>441</v>
      </c>
      <c r="H132" s="46" t="s">
        <v>442</v>
      </c>
      <c r="I132" s="46" t="s">
        <v>443</v>
      </c>
      <c r="J132" s="20"/>
      <c r="K132" t="str">
        <f>_xlfn.XLOOKUP(D132,'Impresoras Julio 2026'!E:E,'Impresoras Julio 2026'!F:F)</f>
        <v>ok</v>
      </c>
    </row>
    <row r="133" spans="1:11" x14ac:dyDescent="0.35">
      <c r="A133" s="44">
        <v>524</v>
      </c>
      <c r="B133" t="s">
        <v>437</v>
      </c>
      <c r="C133" t="s">
        <v>774</v>
      </c>
      <c r="D133" s="44" t="s">
        <v>775</v>
      </c>
      <c r="E133" s="40" t="s">
        <v>775</v>
      </c>
      <c r="F133" s="45" t="s">
        <v>440</v>
      </c>
      <c r="G133" s="45" t="s">
        <v>441</v>
      </c>
      <c r="H133" s="46" t="s">
        <v>442</v>
      </c>
      <c r="I133" s="46" t="s">
        <v>443</v>
      </c>
      <c r="J133" s="20" t="s">
        <v>776</v>
      </c>
      <c r="K133" t="str">
        <f>_xlfn.XLOOKUP(D133,'Impresoras Julio 2026'!E:E,'Impresoras Julio 2026'!F:F)</f>
        <v>ok</v>
      </c>
    </row>
    <row r="134" spans="1:11" x14ac:dyDescent="0.35">
      <c r="A134" s="44">
        <v>414</v>
      </c>
      <c r="B134" t="s">
        <v>437</v>
      </c>
      <c r="C134" t="s">
        <v>705</v>
      </c>
      <c r="D134" s="45" t="s">
        <v>706</v>
      </c>
      <c r="E134" s="39" t="s">
        <v>706</v>
      </c>
      <c r="F134" s="45" t="s">
        <v>440</v>
      </c>
      <c r="G134" s="44" t="s">
        <v>441</v>
      </c>
      <c r="H134" s="46" t="s">
        <v>442</v>
      </c>
      <c r="I134" s="46" t="s">
        <v>443</v>
      </c>
      <c r="J134" s="20"/>
      <c r="K134" t="str">
        <f>_xlfn.XLOOKUP(D134,'Impresoras Julio 2026'!E:E,'Impresoras Julio 2026'!F:F)</f>
        <v>ok</v>
      </c>
    </row>
    <row r="135" spans="1:11" x14ac:dyDescent="0.35">
      <c r="A135" s="44">
        <v>415</v>
      </c>
      <c r="B135" t="s">
        <v>437</v>
      </c>
      <c r="C135" t="s">
        <v>707</v>
      </c>
      <c r="D135" s="45" t="s">
        <v>708</v>
      </c>
      <c r="E135" s="40" t="s">
        <v>708</v>
      </c>
      <c r="F135" s="45" t="s">
        <v>440</v>
      </c>
      <c r="G135" s="44" t="s">
        <v>441</v>
      </c>
      <c r="H135" s="46" t="s">
        <v>442</v>
      </c>
      <c r="I135" s="46" t="s">
        <v>443</v>
      </c>
      <c r="J135" s="20"/>
      <c r="K135" t="str">
        <f>_xlfn.XLOOKUP(D135,'Impresoras Julio 2026'!E:E,'Impresoras Julio 2026'!F:F)</f>
        <v>ok</v>
      </c>
    </row>
    <row r="136" spans="1:11" x14ac:dyDescent="0.35">
      <c r="A136" s="44">
        <v>416</v>
      </c>
      <c r="B136" t="s">
        <v>437</v>
      </c>
      <c r="C136" t="s">
        <v>709</v>
      </c>
      <c r="D136" s="45" t="s">
        <v>710</v>
      </c>
      <c r="E136" s="39" t="s">
        <v>710</v>
      </c>
      <c r="F136" s="45" t="s">
        <v>440</v>
      </c>
      <c r="G136" s="44" t="s">
        <v>441</v>
      </c>
      <c r="H136" s="46" t="s">
        <v>442</v>
      </c>
      <c r="I136" s="46" t="s">
        <v>443</v>
      </c>
      <c r="J136" s="20"/>
      <c r="K136" t="str">
        <f>_xlfn.XLOOKUP(D136,'Impresoras Julio 2026'!E:E,'Impresoras Julio 2026'!F:F)</f>
        <v>ok</v>
      </c>
    </row>
    <row r="137" spans="1:11" x14ac:dyDescent="0.35">
      <c r="A137" s="44">
        <v>417</v>
      </c>
      <c r="B137" t="s">
        <v>437</v>
      </c>
      <c r="C137" t="s">
        <v>711</v>
      </c>
      <c r="D137" s="45" t="s">
        <v>712</v>
      </c>
      <c r="E137" s="40" t="s">
        <v>712</v>
      </c>
      <c r="F137" s="45" t="s">
        <v>440</v>
      </c>
      <c r="G137" s="44" t="s">
        <v>441</v>
      </c>
      <c r="H137" s="46" t="s">
        <v>442</v>
      </c>
      <c r="I137" s="46" t="s">
        <v>443</v>
      </c>
      <c r="J137" s="20"/>
      <c r="K137" t="str">
        <f>_xlfn.XLOOKUP(D137,'Impresoras Julio 2026'!E:E,'Impresoras Julio 2026'!F:F)</f>
        <v>ok</v>
      </c>
    </row>
    <row r="138" spans="1:11" x14ac:dyDescent="0.35">
      <c r="A138" s="44">
        <v>418</v>
      </c>
      <c r="B138" t="s">
        <v>437</v>
      </c>
      <c r="C138" t="s">
        <v>713</v>
      </c>
      <c r="D138" s="45" t="s">
        <v>714</v>
      </c>
      <c r="E138" s="39" t="s">
        <v>714</v>
      </c>
      <c r="F138" s="45" t="s">
        <v>440</v>
      </c>
      <c r="G138" s="44" t="s">
        <v>441</v>
      </c>
      <c r="H138" s="46" t="s">
        <v>442</v>
      </c>
      <c r="I138" s="46" t="s">
        <v>443</v>
      </c>
      <c r="J138" s="20"/>
      <c r="K138" t="str">
        <f>_xlfn.XLOOKUP(D138,'Impresoras Julio 2026'!E:E,'Impresoras Julio 2026'!F:F)</f>
        <v>ok</v>
      </c>
    </row>
    <row r="139" spans="1:11" x14ac:dyDescent="0.35">
      <c r="A139" s="44">
        <v>420</v>
      </c>
      <c r="B139" t="s">
        <v>437</v>
      </c>
      <c r="C139" t="s">
        <v>717</v>
      </c>
      <c r="D139" s="45" t="s">
        <v>718</v>
      </c>
      <c r="F139" s="45" t="s">
        <v>440</v>
      </c>
      <c r="G139" s="44" t="s">
        <v>441</v>
      </c>
      <c r="H139" s="46" t="s">
        <v>442</v>
      </c>
      <c r="I139" s="46" t="s">
        <v>443</v>
      </c>
      <c r="J139" s="20"/>
      <c r="K139" t="e">
        <f>_xlfn.XLOOKUP(D139,'Impresoras Julio 2026'!E:E,'Impresoras Julio 2026'!F:F)</f>
        <v>#N/A</v>
      </c>
    </row>
    <row r="140" spans="1:11" x14ac:dyDescent="0.35">
      <c r="A140" s="44">
        <v>419</v>
      </c>
      <c r="B140" t="s">
        <v>437</v>
      </c>
      <c r="C140" t="s">
        <v>715</v>
      </c>
      <c r="D140" s="45" t="s">
        <v>716</v>
      </c>
      <c r="E140" s="40" t="s">
        <v>716</v>
      </c>
      <c r="F140" s="45" t="s">
        <v>440</v>
      </c>
      <c r="G140" s="44" t="s">
        <v>441</v>
      </c>
      <c r="H140" s="46" t="s">
        <v>442</v>
      </c>
      <c r="I140" s="46" t="s">
        <v>443</v>
      </c>
      <c r="J140" s="20"/>
      <c r="K140" t="str">
        <f>_xlfn.XLOOKUP(D140,'Impresoras Julio 2026'!E:E,'Impresoras Julio 2026'!F:F)</f>
        <v>ok</v>
      </c>
    </row>
    <row r="141" spans="1:11" x14ac:dyDescent="0.35">
      <c r="A141" s="44">
        <v>421</v>
      </c>
      <c r="B141" t="s">
        <v>437</v>
      </c>
      <c r="C141" t="s">
        <v>719</v>
      </c>
      <c r="D141" s="45" t="s">
        <v>720</v>
      </c>
      <c r="E141" s="39" t="s">
        <v>720</v>
      </c>
      <c r="F141" s="45" t="s">
        <v>440</v>
      </c>
      <c r="G141" s="44" t="s">
        <v>441</v>
      </c>
      <c r="H141" s="46" t="s">
        <v>442</v>
      </c>
      <c r="I141" s="46" t="s">
        <v>443</v>
      </c>
      <c r="J141" s="20"/>
      <c r="K141" t="str">
        <f>_xlfn.XLOOKUP(D141,'Impresoras Julio 2026'!E:E,'Impresoras Julio 2026'!F:F)</f>
        <v>ok</v>
      </c>
    </row>
    <row r="142" spans="1:11" x14ac:dyDescent="0.35">
      <c r="A142" s="44">
        <v>423</v>
      </c>
      <c r="B142" t="s">
        <v>437</v>
      </c>
      <c r="C142" t="s">
        <v>723</v>
      </c>
      <c r="D142" s="45" t="s">
        <v>724</v>
      </c>
      <c r="F142" s="45" t="s">
        <v>440</v>
      </c>
      <c r="G142" s="44" t="s">
        <v>441</v>
      </c>
      <c r="H142" s="46" t="s">
        <v>442</v>
      </c>
      <c r="I142" s="46" t="s">
        <v>443</v>
      </c>
      <c r="J142" s="20"/>
      <c r="K142" t="e">
        <f>_xlfn.XLOOKUP(D142,'Impresoras Julio 2026'!E:E,'Impresoras Julio 2026'!F:F)</f>
        <v>#N/A</v>
      </c>
    </row>
    <row r="143" spans="1:11" x14ac:dyDescent="0.35">
      <c r="A143" s="44">
        <v>424</v>
      </c>
      <c r="B143" t="s">
        <v>437</v>
      </c>
      <c r="C143" t="s">
        <v>725</v>
      </c>
      <c r="D143" s="45" t="s">
        <v>726</v>
      </c>
      <c r="F143" s="45" t="s">
        <v>440</v>
      </c>
      <c r="G143" s="44" t="s">
        <v>441</v>
      </c>
      <c r="H143" s="46" t="s">
        <v>442</v>
      </c>
      <c r="I143" s="46" t="s">
        <v>443</v>
      </c>
      <c r="J143" s="20"/>
      <c r="K143" t="e">
        <f>_xlfn.XLOOKUP(D143,'Impresoras Julio 2026'!E:E,'Impresoras Julio 2026'!F:F)</f>
        <v>#N/A</v>
      </c>
    </row>
    <row r="144" spans="1:11" x14ac:dyDescent="0.35">
      <c r="A144" s="44">
        <v>422</v>
      </c>
      <c r="B144" t="s">
        <v>437</v>
      </c>
      <c r="C144" t="s">
        <v>721</v>
      </c>
      <c r="D144" s="45" t="s">
        <v>722</v>
      </c>
      <c r="E144" s="40" t="s">
        <v>722</v>
      </c>
      <c r="F144" s="45" t="s">
        <v>440</v>
      </c>
      <c r="G144" s="44" t="s">
        <v>441</v>
      </c>
      <c r="H144" s="46" t="s">
        <v>442</v>
      </c>
      <c r="I144" s="46" t="s">
        <v>443</v>
      </c>
      <c r="J144" s="20"/>
      <c r="K144" t="str">
        <f>_xlfn.XLOOKUP(D144,'Impresoras Julio 2026'!E:E,'Impresoras Julio 2026'!F:F)</f>
        <v>ok</v>
      </c>
    </row>
    <row r="145" spans="1:11" x14ac:dyDescent="0.35">
      <c r="A145" s="44">
        <v>426</v>
      </c>
      <c r="B145" t="s">
        <v>437</v>
      </c>
      <c r="C145" t="s">
        <v>729</v>
      </c>
      <c r="D145" s="45" t="s">
        <v>730</v>
      </c>
      <c r="F145" s="45" t="s">
        <v>440</v>
      </c>
      <c r="G145" s="44" t="s">
        <v>441</v>
      </c>
      <c r="H145" s="46" t="s">
        <v>442</v>
      </c>
      <c r="I145" s="46" t="s">
        <v>443</v>
      </c>
      <c r="J145" s="20"/>
      <c r="K145" t="e">
        <f>_xlfn.XLOOKUP(D145,'Impresoras Julio 2026'!E:E,'Impresoras Julio 2026'!F:F)</f>
        <v>#N/A</v>
      </c>
    </row>
    <row r="146" spans="1:11" x14ac:dyDescent="0.35">
      <c r="A146" s="44">
        <v>427</v>
      </c>
      <c r="B146" t="s">
        <v>437</v>
      </c>
      <c r="C146" t="s">
        <v>731</v>
      </c>
      <c r="D146" s="45" t="s">
        <v>732</v>
      </c>
      <c r="F146" s="45" t="s">
        <v>440</v>
      </c>
      <c r="G146" s="44" t="s">
        <v>441</v>
      </c>
      <c r="H146" s="46" t="s">
        <v>442</v>
      </c>
      <c r="I146" s="46" t="s">
        <v>443</v>
      </c>
      <c r="J146" s="20"/>
      <c r="K146" t="e">
        <f>_xlfn.XLOOKUP(D146,'Impresoras Julio 2026'!E:E,'Impresoras Julio 2026'!F:F)</f>
        <v>#N/A</v>
      </c>
    </row>
    <row r="147" spans="1:11" x14ac:dyDescent="0.35">
      <c r="A147" s="44">
        <v>428</v>
      </c>
      <c r="B147" t="s">
        <v>437</v>
      </c>
      <c r="C147" t="s">
        <v>733</v>
      </c>
      <c r="D147" s="45" t="s">
        <v>734</v>
      </c>
      <c r="F147" s="45" t="s">
        <v>440</v>
      </c>
      <c r="G147" s="44" t="s">
        <v>441</v>
      </c>
      <c r="H147" s="46" t="s">
        <v>442</v>
      </c>
      <c r="I147" s="46" t="s">
        <v>443</v>
      </c>
      <c r="J147" s="20"/>
      <c r="K147" t="e">
        <f>_xlfn.XLOOKUP(D147,'Impresoras Julio 2026'!E:E,'Impresoras Julio 2026'!F:F)</f>
        <v>#N/A</v>
      </c>
    </row>
    <row r="148" spans="1:11" x14ac:dyDescent="0.35">
      <c r="A148" s="44">
        <v>425</v>
      </c>
      <c r="B148" t="s">
        <v>437</v>
      </c>
      <c r="C148" t="s">
        <v>727</v>
      </c>
      <c r="D148" s="45" t="s">
        <v>728</v>
      </c>
      <c r="E148" s="39" t="s">
        <v>728</v>
      </c>
      <c r="F148" s="45" t="s">
        <v>440</v>
      </c>
      <c r="G148" s="44" t="s">
        <v>441</v>
      </c>
      <c r="H148" s="46" t="s">
        <v>442</v>
      </c>
      <c r="I148" s="46" t="s">
        <v>443</v>
      </c>
      <c r="J148" s="20"/>
      <c r="K148" t="str">
        <f>_xlfn.XLOOKUP(D148,'Impresoras Julio 2026'!E:E,'Impresoras Julio 2026'!F:F)</f>
        <v>ok</v>
      </c>
    </row>
    <row r="149" spans="1:11" x14ac:dyDescent="0.35">
      <c r="A149" s="44">
        <v>429</v>
      </c>
      <c r="B149" t="s">
        <v>437</v>
      </c>
      <c r="C149" t="s">
        <v>735</v>
      </c>
      <c r="D149" s="45" t="s">
        <v>736</v>
      </c>
      <c r="E149" s="40" t="s">
        <v>736</v>
      </c>
      <c r="F149" s="45" t="s">
        <v>440</v>
      </c>
      <c r="G149" s="44" t="s">
        <v>441</v>
      </c>
      <c r="H149" s="46" t="s">
        <v>442</v>
      </c>
      <c r="I149" s="46" t="s">
        <v>443</v>
      </c>
      <c r="J149" s="20"/>
      <c r="K149" t="str">
        <f>_xlfn.XLOOKUP(D149,'Impresoras Julio 2026'!E:E,'Impresoras Julio 2026'!F:F)</f>
        <v>ok</v>
      </c>
    </row>
    <row r="150" spans="1:11" x14ac:dyDescent="0.35">
      <c r="A150" s="44">
        <v>430</v>
      </c>
      <c r="B150" t="s">
        <v>437</v>
      </c>
      <c r="C150" t="s">
        <v>737</v>
      </c>
      <c r="D150" s="45" t="s">
        <v>738</v>
      </c>
      <c r="E150" s="39" t="s">
        <v>738</v>
      </c>
      <c r="F150" s="45" t="s">
        <v>440</v>
      </c>
      <c r="G150" s="44" t="s">
        <v>441</v>
      </c>
      <c r="H150" s="46" t="s">
        <v>442</v>
      </c>
      <c r="I150" s="46" t="s">
        <v>443</v>
      </c>
      <c r="J150" s="20"/>
      <c r="K150" t="str">
        <f>_xlfn.XLOOKUP(D150,'Impresoras Julio 2026'!E:E,'Impresoras Julio 2026'!F:F)</f>
        <v>ok</v>
      </c>
    </row>
    <row r="151" spans="1:11" x14ac:dyDescent="0.35">
      <c r="A151" s="44">
        <v>531</v>
      </c>
      <c r="B151" t="s">
        <v>437</v>
      </c>
      <c r="C151" t="s">
        <v>782</v>
      </c>
      <c r="D151" s="44" t="s">
        <v>783</v>
      </c>
      <c r="E151" s="40" t="s">
        <v>783</v>
      </c>
      <c r="F151" s="45" t="s">
        <v>440</v>
      </c>
      <c r="G151" s="45" t="s">
        <v>441</v>
      </c>
      <c r="H151" s="46" t="s">
        <v>442</v>
      </c>
      <c r="I151" s="46" t="s">
        <v>443</v>
      </c>
      <c r="J151" s="20" t="s">
        <v>776</v>
      </c>
      <c r="K151" t="str">
        <f>_xlfn.XLOOKUP(D151,'Impresoras Julio 2026'!E:E,'Impresoras Julio 2026'!F:F)</f>
        <v>ok</v>
      </c>
    </row>
    <row r="152" spans="1:11" x14ac:dyDescent="0.35">
      <c r="A152" s="44">
        <v>530</v>
      </c>
      <c r="B152" t="s">
        <v>437</v>
      </c>
      <c r="C152" t="s">
        <v>779</v>
      </c>
      <c r="D152" s="44" t="s">
        <v>780</v>
      </c>
      <c r="E152" s="39" t="s">
        <v>780</v>
      </c>
      <c r="F152" s="45" t="s">
        <v>440</v>
      </c>
      <c r="G152" s="45" t="s">
        <v>441</v>
      </c>
      <c r="H152" s="46" t="s">
        <v>442</v>
      </c>
      <c r="I152" s="46" t="s">
        <v>781</v>
      </c>
      <c r="J152" s="20"/>
      <c r="K152" t="str">
        <f>_xlfn.XLOOKUP(D152,'Impresoras Julio 2026'!E:E,'Impresoras Julio 2026'!F:F)</f>
        <v>ok</v>
      </c>
    </row>
    <row r="153" spans="1:11" x14ac:dyDescent="0.35">
      <c r="A153" s="44">
        <v>431</v>
      </c>
      <c r="B153" t="s">
        <v>437</v>
      </c>
      <c r="C153" t="s">
        <v>739</v>
      </c>
      <c r="D153" s="45" t="s">
        <v>740</v>
      </c>
      <c r="E153" s="40" t="s">
        <v>740</v>
      </c>
      <c r="F153" s="45" t="s">
        <v>440</v>
      </c>
      <c r="G153" s="44" t="s">
        <v>441</v>
      </c>
      <c r="H153" s="46" t="s">
        <v>442</v>
      </c>
      <c r="I153" s="46" t="s">
        <v>443</v>
      </c>
      <c r="J153" s="20"/>
      <c r="K153" t="str">
        <f>_xlfn.XLOOKUP(D153,'Impresoras Julio 2026'!E:E,'Impresoras Julio 2026'!F:F)</f>
        <v>ok</v>
      </c>
    </row>
    <row r="154" spans="1:11" x14ac:dyDescent="0.35">
      <c r="A154" s="44">
        <v>432</v>
      </c>
      <c r="B154" t="s">
        <v>437</v>
      </c>
      <c r="C154" t="s">
        <v>741</v>
      </c>
      <c r="D154" s="45" t="s">
        <v>742</v>
      </c>
      <c r="E154" s="39" t="s">
        <v>742</v>
      </c>
      <c r="F154" s="45" t="s">
        <v>440</v>
      </c>
      <c r="G154" s="44" t="s">
        <v>441</v>
      </c>
      <c r="H154" s="46" t="s">
        <v>442</v>
      </c>
      <c r="I154" s="46" t="s">
        <v>443</v>
      </c>
      <c r="J154" s="20"/>
      <c r="K154" t="str">
        <f>_xlfn.XLOOKUP(D154,'Impresoras Julio 2026'!E:E,'Impresoras Julio 2026'!F:F)</f>
        <v>ok</v>
      </c>
    </row>
    <row r="155" spans="1:11" x14ac:dyDescent="0.35">
      <c r="A155" s="44">
        <v>433</v>
      </c>
      <c r="B155" t="s">
        <v>437</v>
      </c>
      <c r="C155" t="s">
        <v>743</v>
      </c>
      <c r="D155" s="45" t="s">
        <v>744</v>
      </c>
      <c r="E155" s="40" t="s">
        <v>744</v>
      </c>
      <c r="F155" s="45" t="s">
        <v>440</v>
      </c>
      <c r="G155" s="44" t="s">
        <v>441</v>
      </c>
      <c r="H155" s="46" t="s">
        <v>442</v>
      </c>
      <c r="I155" s="46" t="s">
        <v>443</v>
      </c>
      <c r="J155" s="20"/>
      <c r="K155" t="str">
        <f>_xlfn.XLOOKUP(D155,'Impresoras Julio 2026'!E:E,'Impresoras Julio 2026'!F:F)</f>
        <v>ok</v>
      </c>
    </row>
    <row r="156" spans="1:11" x14ac:dyDescent="0.35">
      <c r="A156" s="44">
        <v>437</v>
      </c>
      <c r="B156" t="s">
        <v>437</v>
      </c>
      <c r="C156" t="s">
        <v>751</v>
      </c>
      <c r="D156" s="47" t="s">
        <v>752</v>
      </c>
      <c r="F156" s="45" t="s">
        <v>440</v>
      </c>
      <c r="G156" s="44" t="s">
        <v>441</v>
      </c>
      <c r="H156" s="46" t="s">
        <v>442</v>
      </c>
      <c r="I156" s="46" t="s">
        <v>443</v>
      </c>
      <c r="J156" s="20"/>
      <c r="K156" t="e">
        <f>_xlfn.XLOOKUP(D156,'Impresoras Julio 2026'!E:E,'Impresoras Julio 2026'!F:F)</f>
        <v>#N/A</v>
      </c>
    </row>
    <row r="157" spans="1:11" x14ac:dyDescent="0.35">
      <c r="A157" s="44">
        <v>528</v>
      </c>
      <c r="B157" t="s">
        <v>437</v>
      </c>
      <c r="C157" t="s">
        <v>777</v>
      </c>
      <c r="D157" s="44" t="s">
        <v>778</v>
      </c>
      <c r="E157" s="39" t="s">
        <v>778</v>
      </c>
      <c r="F157" s="45" t="s">
        <v>440</v>
      </c>
      <c r="G157" s="45" t="s">
        <v>441</v>
      </c>
      <c r="H157" s="46" t="s">
        <v>442</v>
      </c>
      <c r="I157" s="46" t="s">
        <v>443</v>
      </c>
      <c r="J157" s="20" t="s">
        <v>776</v>
      </c>
      <c r="K157" t="str">
        <f>_xlfn.XLOOKUP(D157,'Impresoras Julio 2026'!E:E,'Impresoras Julio 2026'!F:F)</f>
        <v>ok</v>
      </c>
    </row>
    <row r="158" spans="1:11" x14ac:dyDescent="0.35">
      <c r="A158" s="44">
        <v>434</v>
      </c>
      <c r="B158" t="s">
        <v>437</v>
      </c>
      <c r="C158" t="s">
        <v>745</v>
      </c>
      <c r="D158" s="45" t="s">
        <v>746</v>
      </c>
      <c r="E158" s="40" t="s">
        <v>746</v>
      </c>
      <c r="F158" s="45" t="s">
        <v>440</v>
      </c>
      <c r="G158" s="44" t="s">
        <v>441</v>
      </c>
      <c r="H158" s="46" t="s">
        <v>442</v>
      </c>
      <c r="I158" s="46" t="s">
        <v>443</v>
      </c>
      <c r="J158" s="20"/>
      <c r="K158" t="str">
        <f>_xlfn.XLOOKUP(D158,'Impresoras Julio 2026'!E:E,'Impresoras Julio 2026'!F:F)</f>
        <v>ok</v>
      </c>
    </row>
    <row r="159" spans="1:11" x14ac:dyDescent="0.35">
      <c r="A159" s="44">
        <v>435</v>
      </c>
      <c r="B159" t="s">
        <v>437</v>
      </c>
      <c r="C159" t="s">
        <v>747</v>
      </c>
      <c r="D159" s="45" t="s">
        <v>748</v>
      </c>
      <c r="E159" s="39" t="s">
        <v>748</v>
      </c>
      <c r="F159" s="45" t="s">
        <v>440</v>
      </c>
      <c r="G159" s="44" t="s">
        <v>441</v>
      </c>
      <c r="H159" s="46" t="s">
        <v>442</v>
      </c>
      <c r="I159" s="46" t="s">
        <v>443</v>
      </c>
      <c r="J159" s="20"/>
      <c r="K159" t="str">
        <f>_xlfn.XLOOKUP(D159,'Impresoras Julio 2026'!E:E,'Impresoras Julio 2026'!F:F)</f>
        <v>ok</v>
      </c>
    </row>
    <row r="160" spans="1:11" x14ac:dyDescent="0.35">
      <c r="A160" s="44">
        <v>436</v>
      </c>
      <c r="B160" t="s">
        <v>437</v>
      </c>
      <c r="C160" t="s">
        <v>749</v>
      </c>
      <c r="D160" s="45" t="s">
        <v>750</v>
      </c>
      <c r="E160" s="39" t="s">
        <v>750</v>
      </c>
      <c r="F160" s="45" t="s">
        <v>440</v>
      </c>
      <c r="G160" s="44" t="s">
        <v>441</v>
      </c>
      <c r="H160" s="46" t="s">
        <v>442</v>
      </c>
      <c r="I160" s="46" t="s">
        <v>443</v>
      </c>
      <c r="J160" s="20"/>
      <c r="K160" t="str">
        <f>_xlfn.XLOOKUP(D160,'Impresoras Julio 2026'!E:E,'Impresoras Julio 2026'!F:F)</f>
        <v>ok</v>
      </c>
    </row>
    <row r="161" spans="1:11" x14ac:dyDescent="0.35">
      <c r="A161" s="44">
        <v>442</v>
      </c>
      <c r="B161" t="s">
        <v>437</v>
      </c>
      <c r="C161" t="s">
        <v>761</v>
      </c>
      <c r="D161" s="47" t="s">
        <v>762</v>
      </c>
      <c r="F161" s="45" t="s">
        <v>440</v>
      </c>
      <c r="G161" s="44" t="s">
        <v>441</v>
      </c>
      <c r="H161" s="46" t="s">
        <v>442</v>
      </c>
      <c r="I161" s="46" t="s">
        <v>443</v>
      </c>
      <c r="J161" s="20"/>
      <c r="K161" t="e">
        <f>_xlfn.XLOOKUP(D161,'Impresoras Julio 2026'!E:E,'Impresoras Julio 2026'!F:F)</f>
        <v>#N/A</v>
      </c>
    </row>
    <row r="162" spans="1:11" x14ac:dyDescent="0.35">
      <c r="A162" s="44">
        <v>443</v>
      </c>
      <c r="B162" t="s">
        <v>437</v>
      </c>
      <c r="C162" t="s">
        <v>763</v>
      </c>
      <c r="D162" s="47" t="s">
        <v>764</v>
      </c>
      <c r="F162" s="45" t="s">
        <v>440</v>
      </c>
      <c r="G162" s="44" t="s">
        <v>441</v>
      </c>
      <c r="H162" s="46" t="s">
        <v>442</v>
      </c>
      <c r="I162" s="46" t="s">
        <v>443</v>
      </c>
      <c r="J162" s="20"/>
      <c r="K162" t="e">
        <f>_xlfn.XLOOKUP(D162,'Impresoras Julio 2026'!E:E,'Impresoras Julio 2026'!F:F)</f>
        <v>#N/A</v>
      </c>
    </row>
    <row r="163" spans="1:11" x14ac:dyDescent="0.35">
      <c r="A163" s="44">
        <v>441</v>
      </c>
      <c r="B163" t="s">
        <v>437</v>
      </c>
      <c r="C163" t="s">
        <v>759</v>
      </c>
      <c r="D163" s="47" t="s">
        <v>760</v>
      </c>
      <c r="E163" s="40" t="s">
        <v>760</v>
      </c>
      <c r="F163" s="45" t="s">
        <v>440</v>
      </c>
      <c r="G163" s="44" t="s">
        <v>441</v>
      </c>
      <c r="H163" s="46" t="s">
        <v>442</v>
      </c>
      <c r="I163" s="46" t="s">
        <v>443</v>
      </c>
      <c r="J163" s="20"/>
      <c r="K163" t="str">
        <f>_xlfn.XLOOKUP(D163,'Impresoras Julio 2026'!E:E,'Impresoras Julio 2026'!F:F)</f>
        <v>ok</v>
      </c>
    </row>
    <row r="164" spans="1:11" x14ac:dyDescent="0.35">
      <c r="A164" s="44">
        <v>445</v>
      </c>
      <c r="B164" t="s">
        <v>437</v>
      </c>
      <c r="C164" t="s">
        <v>767</v>
      </c>
      <c r="D164" s="47" t="s">
        <v>768</v>
      </c>
      <c r="F164" s="45" t="s">
        <v>440</v>
      </c>
      <c r="G164" s="44" t="s">
        <v>441</v>
      </c>
      <c r="H164" s="46" t="s">
        <v>442</v>
      </c>
      <c r="I164" s="46" t="s">
        <v>443</v>
      </c>
      <c r="J164" s="20"/>
      <c r="K164" t="e">
        <f>_xlfn.XLOOKUP(D164,'Impresoras Julio 2026'!E:E,'Impresoras Julio 2026'!F:F)</f>
        <v>#N/A</v>
      </c>
    </row>
    <row r="165" spans="1:11" x14ac:dyDescent="0.35">
      <c r="A165" s="44">
        <v>438</v>
      </c>
      <c r="B165" t="s">
        <v>437</v>
      </c>
      <c r="C165" t="s">
        <v>753</v>
      </c>
      <c r="D165" s="47" t="s">
        <v>754</v>
      </c>
      <c r="E165" s="39" t="s">
        <v>754</v>
      </c>
      <c r="F165" s="45" t="s">
        <v>440</v>
      </c>
      <c r="G165" s="44" t="s">
        <v>441</v>
      </c>
      <c r="H165" s="46" t="s">
        <v>442</v>
      </c>
      <c r="I165" s="46" t="s">
        <v>443</v>
      </c>
      <c r="J165" s="20"/>
      <c r="K165" t="str">
        <f>_xlfn.XLOOKUP(D165,'Impresoras Julio 2026'!E:E,'Impresoras Julio 2026'!F:F)</f>
        <v>ok</v>
      </c>
    </row>
    <row r="166" spans="1:11" x14ac:dyDescent="0.35">
      <c r="A166" s="44">
        <v>444</v>
      </c>
      <c r="B166" t="s">
        <v>437</v>
      </c>
      <c r="C166" t="s">
        <v>765</v>
      </c>
      <c r="D166" s="47" t="s">
        <v>766</v>
      </c>
      <c r="E166" s="40" t="s">
        <v>766</v>
      </c>
      <c r="F166" s="45" t="s">
        <v>440</v>
      </c>
      <c r="G166" s="44" t="s">
        <v>441</v>
      </c>
      <c r="H166" s="46" t="s">
        <v>442</v>
      </c>
      <c r="I166" s="46" t="s">
        <v>443</v>
      </c>
      <c r="J166" s="20"/>
      <c r="K166" t="str">
        <f>_xlfn.XLOOKUP(D166,'Impresoras Julio 2026'!E:E,'Impresoras Julio 2026'!F:F)</f>
        <v>ok</v>
      </c>
    </row>
    <row r="167" spans="1:11" x14ac:dyDescent="0.35">
      <c r="A167" s="44">
        <v>440</v>
      </c>
      <c r="B167" t="s">
        <v>437</v>
      </c>
      <c r="C167" t="s">
        <v>757</v>
      </c>
      <c r="D167" s="47" t="s">
        <v>758</v>
      </c>
      <c r="E167" s="39" t="s">
        <v>758</v>
      </c>
      <c r="F167" s="45" t="s">
        <v>440</v>
      </c>
      <c r="G167" s="44" t="s">
        <v>441</v>
      </c>
      <c r="H167" s="46" t="s">
        <v>442</v>
      </c>
      <c r="I167" s="46" t="s">
        <v>443</v>
      </c>
      <c r="J167" s="20"/>
      <c r="K167" t="str">
        <f>_xlfn.XLOOKUP(D167,'Impresoras Julio 2026'!E:E,'Impresoras Julio 2026'!F:F)</f>
        <v>ok</v>
      </c>
    </row>
    <row r="168" spans="1:11" x14ac:dyDescent="0.35">
      <c r="A168" s="44">
        <v>439</v>
      </c>
      <c r="B168" t="s">
        <v>437</v>
      </c>
      <c r="C168" t="s">
        <v>755</v>
      </c>
      <c r="D168" s="47" t="s">
        <v>756</v>
      </c>
      <c r="E168" s="40" t="s">
        <v>756</v>
      </c>
      <c r="F168" s="45" t="s">
        <v>440</v>
      </c>
      <c r="G168" s="44" t="s">
        <v>441</v>
      </c>
      <c r="H168" s="46" t="s">
        <v>442</v>
      </c>
      <c r="I168" s="46" t="s">
        <v>443</v>
      </c>
      <c r="J168" s="20"/>
      <c r="K168" t="str">
        <f>_xlfn.XLOOKUP(D168,'Impresoras Julio 2026'!E:E,'Impresoras Julio 2026'!F:F)</f>
        <v>ok</v>
      </c>
    </row>
    <row r="169" spans="1:11" x14ac:dyDescent="0.35">
      <c r="A169" s="44">
        <v>543</v>
      </c>
      <c r="B169" t="s">
        <v>437</v>
      </c>
      <c r="C169" t="s">
        <v>788</v>
      </c>
      <c r="D169" s="44" t="s">
        <v>61</v>
      </c>
      <c r="E169" s="39" t="s">
        <v>61</v>
      </c>
      <c r="F169" s="45" t="s">
        <v>440</v>
      </c>
      <c r="G169" s="44" t="s">
        <v>441</v>
      </c>
      <c r="H169" s="46" t="s">
        <v>442</v>
      </c>
      <c r="I169" s="46" t="s">
        <v>443</v>
      </c>
      <c r="J169" s="20" t="s">
        <v>789</v>
      </c>
      <c r="K169" t="str">
        <f>_xlfn.XLOOKUP(D169,'Impresoras Julio 2026'!E:E,'Impresoras Julio 2026'!F:F)</f>
        <v>ok</v>
      </c>
    </row>
    <row r="170" spans="1:11" x14ac:dyDescent="0.35">
      <c r="A170" s="44">
        <v>532</v>
      </c>
      <c r="B170" t="s">
        <v>437</v>
      </c>
      <c r="C170" t="s">
        <v>784</v>
      </c>
      <c r="D170" s="44" t="s">
        <v>785</v>
      </c>
      <c r="E170" s="40" t="s">
        <v>785</v>
      </c>
      <c r="F170" s="45" t="s">
        <v>440</v>
      </c>
      <c r="G170" s="45" t="s">
        <v>441</v>
      </c>
      <c r="H170" s="46" t="s">
        <v>442</v>
      </c>
      <c r="I170" s="46" t="s">
        <v>443</v>
      </c>
      <c r="J170" s="20" t="s">
        <v>776</v>
      </c>
      <c r="K170" t="str">
        <f>_xlfn.XLOOKUP(D170,'Impresoras Julio 2026'!E:E,'Impresoras Julio 2026'!F:F)</f>
        <v>ok</v>
      </c>
    </row>
    <row r="171" spans="1:11" x14ac:dyDescent="0.35">
      <c r="A171" s="44">
        <v>544</v>
      </c>
      <c r="B171" t="s">
        <v>437</v>
      </c>
      <c r="C171" t="s">
        <v>790</v>
      </c>
      <c r="D171" s="44" t="s">
        <v>225</v>
      </c>
      <c r="E171" s="39" t="s">
        <v>225</v>
      </c>
      <c r="F171" s="45" t="s">
        <v>440</v>
      </c>
      <c r="G171" s="44" t="s">
        <v>441</v>
      </c>
      <c r="H171" s="46" t="s">
        <v>442</v>
      </c>
      <c r="I171" s="46" t="s">
        <v>443</v>
      </c>
      <c r="J171" s="20" t="s">
        <v>791</v>
      </c>
      <c r="K171" t="str">
        <f>_xlfn.XLOOKUP(D171,'Impresoras Julio 2026'!E:E,'Impresoras Julio 2026'!F:F)</f>
        <v>ok</v>
      </c>
    </row>
    <row r="172" spans="1:11" x14ac:dyDescent="0.35">
      <c r="A172" s="44">
        <v>534</v>
      </c>
      <c r="B172" t="s">
        <v>437</v>
      </c>
      <c r="C172" t="s">
        <v>786</v>
      </c>
      <c r="D172" s="44" t="s">
        <v>787</v>
      </c>
      <c r="E172" s="40" t="s">
        <v>787</v>
      </c>
      <c r="F172" s="45" t="s">
        <v>440</v>
      </c>
      <c r="G172" s="45" t="s">
        <v>441</v>
      </c>
      <c r="H172" s="46" t="s">
        <v>442</v>
      </c>
      <c r="I172" s="46" t="s">
        <v>443</v>
      </c>
      <c r="J172" s="20" t="s">
        <v>776</v>
      </c>
      <c r="K172" t="str">
        <f>_xlfn.XLOOKUP(D172,'Impresoras Julio 2026'!E:E,'Impresoras Julio 2026'!F:F)</f>
        <v>ok</v>
      </c>
    </row>
    <row r="173" spans="1:11" x14ac:dyDescent="0.35">
      <c r="A173" s="44">
        <v>522</v>
      </c>
      <c r="B173" t="s">
        <v>437</v>
      </c>
      <c r="C173" t="s">
        <v>769</v>
      </c>
      <c r="D173" s="48" t="s">
        <v>770</v>
      </c>
      <c r="E173" s="39" t="s">
        <v>770</v>
      </c>
      <c r="F173" s="45" t="s">
        <v>440</v>
      </c>
      <c r="G173" s="45" t="s">
        <v>771</v>
      </c>
      <c r="H173" s="46" t="s">
        <v>442</v>
      </c>
      <c r="I173" s="46" t="s">
        <v>443</v>
      </c>
      <c r="J173" s="20"/>
      <c r="K173" t="str">
        <f>_xlfn.XLOOKUP(D173,'Impresoras Julio 2026'!E:E,'Impresoras Julio 2026'!F:F)</f>
        <v>ok</v>
      </c>
    </row>
    <row r="174" spans="1:11" x14ac:dyDescent="0.35">
      <c r="A174" s="44">
        <v>545</v>
      </c>
      <c r="B174" t="s">
        <v>437</v>
      </c>
      <c r="C174" t="s">
        <v>792</v>
      </c>
      <c r="D174" s="44" t="s">
        <v>793</v>
      </c>
      <c r="E174" s="40" t="s">
        <v>793</v>
      </c>
      <c r="F174" s="44" t="s">
        <v>440</v>
      </c>
      <c r="G174" s="44" t="s">
        <v>771</v>
      </c>
      <c r="H174" s="46" t="s">
        <v>442</v>
      </c>
      <c r="I174" s="46" t="s">
        <v>443</v>
      </c>
      <c r="J174" s="20" t="s">
        <v>794</v>
      </c>
      <c r="K174" t="str">
        <f>_xlfn.XLOOKUP(D174,'Impresoras Julio 2026'!E:E,'Impresoras Julio 2026'!F:F)</f>
        <v>ok</v>
      </c>
    </row>
    <row r="175" spans="1:11" x14ac:dyDescent="0.35">
      <c r="A175" s="44">
        <v>523</v>
      </c>
      <c r="B175" t="s">
        <v>437</v>
      </c>
      <c r="C175" t="s">
        <v>772</v>
      </c>
      <c r="D175" s="48" t="s">
        <v>773</v>
      </c>
      <c r="E175" s="39" t="s">
        <v>773</v>
      </c>
      <c r="F175" s="45" t="s">
        <v>440</v>
      </c>
      <c r="G175" s="45" t="s">
        <v>771</v>
      </c>
      <c r="H175" s="46" t="s">
        <v>442</v>
      </c>
      <c r="I175" s="46" t="s">
        <v>443</v>
      </c>
      <c r="J175" s="20"/>
      <c r="K175" t="str">
        <f>_xlfn.XLOOKUP(D175,'Impresoras Julio 2026'!E:E,'Impresoras Julio 2026'!F:F)</f>
        <v>ok</v>
      </c>
    </row>
  </sheetData>
  <autoFilter ref="A1:K175" xr:uid="{47C42670-75CB-4FB4-BAE6-120BA43307AB}">
    <sortState xmlns:xlrd2="http://schemas.microsoft.com/office/spreadsheetml/2017/richdata2" ref="A3:K175">
      <sortCondition ref="D1:D175"/>
    </sortState>
  </autoFilter>
  <conditionalFormatting sqref="D1:E2 D3:D175">
    <cfRule type="duplicateValues" dxfId="2" priority="4"/>
  </conditionalFormatting>
  <conditionalFormatting sqref="D1:E13 D176:E1048576 D14:D175 E15:E19 E21 E24:E27 E31:E32 E34:E38 E41:E53 E55:E61 E63:E74 E76:E86 E88 E90:E91 E93:E96 E98:E99 E101:E105 E107:E113 E115:E116 E118 E120:E126 E128 E131:E138 E140:E141 E144 E148:E155 E157:E160 E163 E165:E175">
    <cfRule type="duplicateValues" dxfId="1" priority="561"/>
  </conditionalFormatting>
  <conditionalFormatting sqref="E3:E13 E15:E19 E21 E24:E27 E31:E32 E34:E38 E41:E53 E55:E61 E63:E74 E76:E86 E88 E90:E91 E93:E96 E98:E99 E101:E105 E107:E113 E115:E116 E118 E120:E126 E128 E131:E138 E140:E141 E144 E148:E155 E157:E160 E163 E165:E175">
    <cfRule type="duplicateValues" dxfId="0" priority="59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Impresoras Julio 2026</vt:lpstr>
      <vt:lpstr>DATA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Distribucion ILC - SVEM</dc:creator>
  <cp:lastModifiedBy>BRIAN ALEXANDER FUENTES</cp:lastModifiedBy>
  <dcterms:created xsi:type="dcterms:W3CDTF">2026-07-29T06:46:21Z</dcterms:created>
  <dcterms:modified xsi:type="dcterms:W3CDTF">2026-09-01T18:27:49Z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2026-08-25T17:36:48Z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31bc435b-ca8e-481e-9962-f90d55eb1a7c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